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Evi\Desktop\financial-data-validation-performance-and-tax-analysis\data\"/>
    </mc:Choice>
  </mc:AlternateContent>
  <bookViews>
    <workbookView xWindow="0" yWindow="0" windowWidth="23280" windowHeight="12600" firstSheet="1" activeTab="6"/>
  </bookViews>
  <sheets>
    <sheet name="Raw Data" sheetId="1" r:id="rId1"/>
    <sheet name="Clean Data" sheetId="2" r:id="rId2"/>
    <sheet name="Tax Table" sheetId="3" r:id="rId3"/>
    <sheet name="Growth" sheetId="14" r:id="rId4"/>
    <sheet name="Profit Margin" sheetId="15" r:id="rId5"/>
    <sheet name="EBITDA Margin" sheetId="18" r:id="rId6"/>
    <sheet name="Tax Analysis" sheetId="24" r:id="rId7"/>
    <sheet name="Summary" sheetId="25" r:id="rId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24" l="1"/>
  <c r="H17" i="24"/>
  <c r="H18" i="24"/>
  <c r="H19" i="24"/>
  <c r="H20" i="24"/>
  <c r="H21" i="24"/>
  <c r="H22" i="24"/>
  <c r="C23" i="24"/>
  <c r="D23" i="24"/>
  <c r="E23" i="24"/>
  <c r="F23" i="24"/>
  <c r="G23" i="24"/>
  <c r="H23" i="24"/>
  <c r="H11" i="24"/>
  <c r="H12" i="24"/>
  <c r="H13" i="24"/>
  <c r="H14" i="24"/>
  <c r="H15" i="24"/>
  <c r="H10" i="24"/>
  <c r="H11" i="18"/>
  <c r="H24" i="18" l="1"/>
  <c r="D24" i="18"/>
  <c r="E24" i="18"/>
  <c r="F24" i="18"/>
  <c r="G24" i="18"/>
  <c r="C24" i="18"/>
  <c r="H12" i="18"/>
  <c r="H13" i="18"/>
  <c r="H14" i="18"/>
  <c r="H15" i="18"/>
  <c r="H16" i="18"/>
  <c r="H17" i="18"/>
  <c r="H18" i="18"/>
  <c r="H19" i="18"/>
  <c r="H20" i="18"/>
  <c r="H21" i="18"/>
  <c r="H22" i="18"/>
  <c r="H23" i="18"/>
  <c r="H10" i="15"/>
  <c r="H11" i="15"/>
  <c r="H12" i="15"/>
  <c r="H13" i="15"/>
  <c r="H14" i="15"/>
  <c r="H15" i="15"/>
  <c r="H16" i="15"/>
  <c r="H17" i="15"/>
  <c r="H18" i="15"/>
  <c r="H19" i="15"/>
  <c r="H20" i="15"/>
  <c r="H21" i="15"/>
  <c r="H22" i="15"/>
  <c r="H23" i="15"/>
  <c r="D23" i="15"/>
  <c r="E23" i="15"/>
  <c r="F23" i="15"/>
  <c r="G23" i="15"/>
  <c r="C23" i="15"/>
  <c r="D24" i="14" l="1"/>
  <c r="E24" i="14"/>
  <c r="F24" i="14"/>
  <c r="G24" i="14"/>
  <c r="C24" i="14"/>
  <c r="H12" i="14"/>
  <c r="H13" i="14"/>
  <c r="H14" i="14"/>
  <c r="H15" i="14"/>
  <c r="H16" i="14"/>
  <c r="H17" i="14"/>
  <c r="H18" i="14"/>
  <c r="H19" i="14"/>
  <c r="H20" i="14"/>
  <c r="H21" i="14"/>
  <c r="H22" i="14"/>
  <c r="H23" i="14"/>
  <c r="H11" i="14"/>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M2" i="2"/>
  <c r="M3" i="2"/>
  <c r="H24" i="14" l="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N2"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M67" i="2" l="1"/>
  <c r="M68" i="2"/>
  <c r="M69" i="2"/>
  <c r="M47" i="2"/>
  <c r="M18" i="2"/>
  <c r="P18" i="2" s="1"/>
  <c r="M122" i="2"/>
  <c r="P122" i="2" s="1"/>
  <c r="M154" i="2"/>
  <c r="M32" i="2"/>
  <c r="P32" i="2" s="1"/>
  <c r="M92" i="2"/>
  <c r="P92" i="2" s="1"/>
  <c r="M107" i="2"/>
  <c r="M45" i="2"/>
  <c r="P45" i="2" s="1"/>
  <c r="M93" i="2"/>
  <c r="P93" i="2" s="1"/>
  <c r="M149" i="2"/>
  <c r="M31" i="2"/>
  <c r="M135" i="2"/>
  <c r="M121" i="2"/>
  <c r="M120" i="2"/>
  <c r="M17" i="2"/>
  <c r="M54" i="2"/>
  <c r="M16" i="2"/>
  <c r="M136" i="2"/>
  <c r="M5" i="2"/>
  <c r="P5" i="2" s="1"/>
  <c r="M46" i="2"/>
  <c r="M106" i="2"/>
  <c r="P106" i="2" s="1"/>
  <c r="M150" i="2"/>
  <c r="M55" i="2"/>
  <c r="M12" i="2"/>
  <c r="P12" i="2" s="1"/>
  <c r="M44" i="2"/>
  <c r="M148" i="2"/>
  <c r="M63" i="2"/>
  <c r="M90" i="2"/>
  <c r="M8" i="2"/>
  <c r="P8" i="2" s="1"/>
  <c r="M24" i="2"/>
  <c r="M40" i="2"/>
  <c r="P44" i="2"/>
  <c r="M56" i="2"/>
  <c r="M72" i="2"/>
  <c r="M112" i="2"/>
  <c r="P120" i="2"/>
  <c r="M132" i="2"/>
  <c r="P148" i="2"/>
  <c r="M7" i="2"/>
  <c r="P115" i="2"/>
  <c r="M29" i="2"/>
  <c r="P29" i="2" s="1"/>
  <c r="M77" i="2"/>
  <c r="P77" i="2" s="1"/>
  <c r="M125" i="2"/>
  <c r="M131" i="2"/>
  <c r="P131" i="2" s="1"/>
  <c r="M26" i="2"/>
  <c r="M74" i="2"/>
  <c r="P16" i="2"/>
  <c r="M28" i="2"/>
  <c r="P28" i="2" s="1"/>
  <c r="M60" i="2"/>
  <c r="P60" i="2" s="1"/>
  <c r="M76" i="2"/>
  <c r="P76" i="2" s="1"/>
  <c r="M88" i="2"/>
  <c r="P88" i="2" s="1"/>
  <c r="M100" i="2"/>
  <c r="P100" i="2" s="1"/>
  <c r="M128" i="2"/>
  <c r="M160" i="2"/>
  <c r="M157" i="2"/>
  <c r="M10" i="2"/>
  <c r="M42" i="2"/>
  <c r="P42" i="2" s="1"/>
  <c r="P2" i="2"/>
  <c r="P3" i="2"/>
  <c r="P4" i="2"/>
  <c r="M4" i="2"/>
  <c r="M91" i="2"/>
  <c r="P55" i="2"/>
  <c r="M43" i="2"/>
  <c r="P15" i="2"/>
  <c r="M158" i="2"/>
  <c r="P158" i="2" s="1"/>
  <c r="P150" i="2"/>
  <c r="M142" i="2"/>
  <c r="P142" i="2" s="1"/>
  <c r="P134" i="2"/>
  <c r="M126" i="2"/>
  <c r="M110" i="2"/>
  <c r="M94" i="2"/>
  <c r="M78" i="2"/>
  <c r="P70" i="2"/>
  <c r="M62" i="2"/>
  <c r="P62" i="2" s="1"/>
  <c r="P54" i="2"/>
  <c r="M30" i="2"/>
  <c r="M14" i="2"/>
  <c r="M151" i="2"/>
  <c r="P151" i="2" s="1"/>
  <c r="P119" i="2"/>
  <c r="P71" i="2"/>
  <c r="M59" i="2"/>
  <c r="P59" i="2" s="1"/>
  <c r="M11" i="2"/>
  <c r="P11" i="2" s="1"/>
  <c r="M161" i="2"/>
  <c r="P161" i="2" s="1"/>
  <c r="P149" i="2"/>
  <c r="M145" i="2"/>
  <c r="P145" i="2" s="1"/>
  <c r="M129" i="2"/>
  <c r="M117" i="2"/>
  <c r="M113" i="2"/>
  <c r="P113" i="2" s="1"/>
  <c r="M97" i="2"/>
  <c r="P97" i="2" s="1"/>
  <c r="M85" i="2"/>
  <c r="M81" i="2"/>
  <c r="P69" i="2"/>
  <c r="M65" i="2"/>
  <c r="P65" i="2" s="1"/>
  <c r="P53" i="2"/>
  <c r="M49" i="2"/>
  <c r="M33" i="2"/>
  <c r="P33" i="2" s="1"/>
  <c r="M21" i="2"/>
  <c r="P17" i="2"/>
  <c r="M9" i="2"/>
  <c r="P9" i="2" s="1"/>
  <c r="M75" i="2"/>
  <c r="P75" i="2" s="1"/>
  <c r="M159" i="2"/>
  <c r="P159" i="2" s="1"/>
  <c r="M147" i="2"/>
  <c r="P147" i="2" s="1"/>
  <c r="M111" i="2"/>
  <c r="P111" i="2" s="1"/>
  <c r="P67" i="2"/>
  <c r="M15" i="2"/>
  <c r="M162" i="2"/>
  <c r="P154" i="2"/>
  <c r="M146" i="2"/>
  <c r="P146" i="2" s="1"/>
  <c r="M130" i="2"/>
  <c r="M114" i="2"/>
  <c r="P114" i="2" s="1"/>
  <c r="M98" i="2"/>
  <c r="P98" i="2" s="1"/>
  <c r="P90" i="2"/>
  <c r="M82" i="2"/>
  <c r="P74" i="2"/>
  <c r="M66" i="2"/>
  <c r="M50" i="2"/>
  <c r="P50" i="2" s="1"/>
  <c r="M34" i="2"/>
  <c r="P26" i="2"/>
  <c r="P10" i="2"/>
  <c r="M103" i="2"/>
  <c r="P103" i="2" s="1"/>
  <c r="P83" i="2"/>
  <c r="M133" i="2"/>
  <c r="P133" i="2" s="1"/>
  <c r="P117" i="2"/>
  <c r="M105" i="2"/>
  <c r="M101" i="2"/>
  <c r="P101" i="2" s="1"/>
  <c r="P85" i="2"/>
  <c r="M73" i="2"/>
  <c r="M53" i="2"/>
  <c r="M41" i="2"/>
  <c r="P41" i="2" s="1"/>
  <c r="M37" i="2"/>
  <c r="P37" i="2" s="1"/>
  <c r="M25" i="2"/>
  <c r="P21" i="2"/>
  <c r="M13" i="2"/>
  <c r="P13" i="2" s="1"/>
  <c r="M127" i="2"/>
  <c r="P127" i="2" s="1"/>
  <c r="M115" i="2"/>
  <c r="M19" i="2"/>
  <c r="P19" i="2" s="1"/>
  <c r="M152" i="2"/>
  <c r="M104" i="2"/>
  <c r="P104" i="2" s="1"/>
  <c r="P135" i="2"/>
  <c r="M123" i="2"/>
  <c r="P123" i="2" s="1"/>
  <c r="P31" i="2"/>
  <c r="M27" i="2"/>
  <c r="P27" i="2" s="1"/>
  <c r="M134" i="2"/>
  <c r="P126" i="2"/>
  <c r="M118" i="2"/>
  <c r="P118" i="2" s="1"/>
  <c r="P110" i="2"/>
  <c r="M102" i="2"/>
  <c r="P102" i="2" s="1"/>
  <c r="P94" i="2"/>
  <c r="M86" i="2"/>
  <c r="P86" i="2" s="1"/>
  <c r="P78" i="2"/>
  <c r="M70" i="2"/>
  <c r="P46" i="2"/>
  <c r="M38" i="2"/>
  <c r="P38" i="2" s="1"/>
  <c r="P30" i="2"/>
  <c r="M22" i="2"/>
  <c r="P22" i="2" s="1"/>
  <c r="P14" i="2"/>
  <c r="M6" i="2"/>
  <c r="P6" i="2" s="1"/>
  <c r="M119" i="2"/>
  <c r="P95" i="2"/>
  <c r="M71" i="2"/>
  <c r="P47" i="2"/>
  <c r="M23" i="2"/>
  <c r="P23" i="2" s="1"/>
  <c r="P157" i="2"/>
  <c r="M153" i="2"/>
  <c r="P153" i="2" s="1"/>
  <c r="M137" i="2"/>
  <c r="P137" i="2" s="1"/>
  <c r="P125" i="2"/>
  <c r="P121" i="2"/>
  <c r="M109" i="2"/>
  <c r="P109" i="2" s="1"/>
  <c r="P105" i="2"/>
  <c r="M89" i="2"/>
  <c r="P89" i="2" s="1"/>
  <c r="P73" i="2"/>
  <c r="M61" i="2"/>
  <c r="P61" i="2" s="1"/>
  <c r="M57" i="2"/>
  <c r="P57" i="2" s="1"/>
  <c r="P25" i="2"/>
  <c r="M155" i="2"/>
  <c r="P155" i="2" s="1"/>
  <c r="M139" i="2"/>
  <c r="P139" i="2" s="1"/>
  <c r="P107" i="2"/>
  <c r="M87" i="2"/>
  <c r="P87" i="2" s="1"/>
  <c r="P63" i="2"/>
  <c r="M39" i="2"/>
  <c r="P39" i="2" s="1"/>
  <c r="P7" i="2"/>
  <c r="P160" i="2"/>
  <c r="M156" i="2"/>
  <c r="P156" i="2" s="1"/>
  <c r="M140" i="2"/>
  <c r="P140" i="2" s="1"/>
  <c r="P128" i="2"/>
  <c r="M124" i="2"/>
  <c r="P124" i="2" s="1"/>
  <c r="P112" i="2"/>
  <c r="M108" i="2"/>
  <c r="P108" i="2" s="1"/>
  <c r="M20" i="2"/>
  <c r="P20" i="2" s="1"/>
  <c r="P24" i="2"/>
  <c r="M36" i="2"/>
  <c r="P40" i="2"/>
  <c r="M52" i="2"/>
  <c r="P56" i="2"/>
  <c r="P72" i="2"/>
  <c r="M84" i="2"/>
  <c r="M96" i="2"/>
  <c r="P96" i="2" s="1"/>
  <c r="M116" i="2"/>
  <c r="P132" i="2"/>
  <c r="P152" i="2"/>
  <c r="M99" i="2"/>
  <c r="P99" i="2" s="1"/>
  <c r="P81" i="2"/>
  <c r="P129" i="2"/>
  <c r="M83" i="2"/>
  <c r="M143" i="2"/>
  <c r="P143" i="2" s="1"/>
  <c r="M58" i="2"/>
  <c r="P58" i="2" s="1"/>
  <c r="P130" i="2"/>
  <c r="P162" i="2"/>
  <c r="P43" i="2"/>
  <c r="M79" i="2"/>
  <c r="P79" i="2" s="1"/>
  <c r="P136" i="2"/>
  <c r="M141" i="2"/>
  <c r="P141" i="2" s="1"/>
  <c r="P66" i="2"/>
  <c r="P36" i="2"/>
  <c r="M48" i="2"/>
  <c r="P48" i="2" s="1"/>
  <c r="P52" i="2"/>
  <c r="M64" i="2"/>
  <c r="P64" i="2" s="1"/>
  <c r="P68" i="2"/>
  <c r="M80" i="2"/>
  <c r="P80" i="2" s="1"/>
  <c r="P84" i="2"/>
  <c r="P116" i="2"/>
  <c r="M144" i="2"/>
  <c r="P144" i="2" s="1"/>
  <c r="M51" i="2"/>
  <c r="P51" i="2" s="1"/>
  <c r="P49" i="2"/>
  <c r="M35" i="2"/>
  <c r="P35" i="2" s="1"/>
  <c r="M95" i="2"/>
  <c r="P34" i="2"/>
  <c r="P82" i="2"/>
  <c r="M138" i="2"/>
  <c r="P138" i="2" s="1"/>
  <c r="P9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G2" i="2"/>
  <c r="H2" i="2" s="1"/>
  <c r="I2" i="2" s="1"/>
  <c r="G3" i="2"/>
  <c r="H3" i="2" s="1"/>
  <c r="I3" i="2" s="1"/>
  <c r="G4" i="2"/>
  <c r="H4" i="2" s="1"/>
  <c r="I4" i="2" s="1"/>
  <c r="G5" i="2"/>
  <c r="H5" i="2" s="1"/>
  <c r="I5" i="2" s="1"/>
  <c r="G6" i="2"/>
  <c r="H6" i="2" s="1"/>
  <c r="I6" i="2" s="1"/>
  <c r="G7" i="2"/>
  <c r="H7" i="2" s="1"/>
  <c r="I7" i="2" s="1"/>
  <c r="G8" i="2"/>
  <c r="H8" i="2" s="1"/>
  <c r="I8" i="2" s="1"/>
  <c r="G9" i="2"/>
  <c r="H9" i="2" s="1"/>
  <c r="I9" i="2" s="1"/>
  <c r="G10" i="2"/>
  <c r="H10" i="2" s="1"/>
  <c r="I10" i="2" s="1"/>
  <c r="G11" i="2"/>
  <c r="H11" i="2" s="1"/>
  <c r="I11" i="2" s="1"/>
  <c r="G12" i="2"/>
  <c r="H12" i="2" s="1"/>
  <c r="I12" i="2" s="1"/>
  <c r="G13" i="2"/>
  <c r="H13" i="2" s="1"/>
  <c r="I13" i="2" s="1"/>
  <c r="G14" i="2"/>
  <c r="H14" i="2" s="1"/>
  <c r="I14" i="2" s="1"/>
  <c r="G15" i="2"/>
  <c r="H15" i="2" s="1"/>
  <c r="I15" i="2" s="1"/>
  <c r="G16" i="2"/>
  <c r="H16" i="2" s="1"/>
  <c r="I16" i="2" s="1"/>
  <c r="G17" i="2"/>
  <c r="H17" i="2" s="1"/>
  <c r="I17" i="2" s="1"/>
  <c r="G18" i="2"/>
  <c r="H18" i="2" s="1"/>
  <c r="I18" i="2" s="1"/>
  <c r="G19" i="2"/>
  <c r="H19" i="2" s="1"/>
  <c r="I19" i="2" s="1"/>
  <c r="G20" i="2"/>
  <c r="H20" i="2" s="1"/>
  <c r="I20" i="2" s="1"/>
  <c r="G21" i="2"/>
  <c r="H21" i="2" s="1"/>
  <c r="I21" i="2" s="1"/>
  <c r="G22" i="2"/>
  <c r="H22" i="2" s="1"/>
  <c r="I22" i="2" s="1"/>
  <c r="G23" i="2"/>
  <c r="H23" i="2" s="1"/>
  <c r="I23" i="2" s="1"/>
  <c r="G24" i="2"/>
  <c r="H24" i="2" s="1"/>
  <c r="I24" i="2" s="1"/>
  <c r="G25" i="2"/>
  <c r="H25" i="2" s="1"/>
  <c r="I25" i="2" s="1"/>
  <c r="G26" i="2"/>
  <c r="H26" i="2" s="1"/>
  <c r="I26" i="2" s="1"/>
  <c r="G27" i="2"/>
  <c r="H27" i="2" s="1"/>
  <c r="I27" i="2" s="1"/>
  <c r="G28" i="2"/>
  <c r="H28" i="2" s="1"/>
  <c r="I28" i="2" s="1"/>
  <c r="G29" i="2"/>
  <c r="H29" i="2" s="1"/>
  <c r="I29" i="2" s="1"/>
  <c r="G30" i="2"/>
  <c r="H30" i="2" s="1"/>
  <c r="I30" i="2" s="1"/>
  <c r="G31" i="2"/>
  <c r="H31" i="2" s="1"/>
  <c r="I31" i="2" s="1"/>
  <c r="G32" i="2"/>
  <c r="H32" i="2" s="1"/>
  <c r="I32" i="2" s="1"/>
  <c r="G33" i="2"/>
  <c r="H33" i="2" s="1"/>
  <c r="I33" i="2" s="1"/>
  <c r="G34" i="2"/>
  <c r="H34" i="2" s="1"/>
  <c r="I34" i="2" s="1"/>
  <c r="G35" i="2"/>
  <c r="H35" i="2" s="1"/>
  <c r="I35" i="2" s="1"/>
  <c r="G36" i="2"/>
  <c r="H36" i="2" s="1"/>
  <c r="I36" i="2" s="1"/>
  <c r="G37" i="2"/>
  <c r="H37" i="2" s="1"/>
  <c r="I37" i="2" s="1"/>
  <c r="G38" i="2"/>
  <c r="H38" i="2" s="1"/>
  <c r="I38" i="2" s="1"/>
  <c r="G39" i="2"/>
  <c r="H39" i="2" s="1"/>
  <c r="I39" i="2" s="1"/>
  <c r="G40" i="2"/>
  <c r="H40" i="2" s="1"/>
  <c r="I40" i="2" s="1"/>
  <c r="G41" i="2"/>
  <c r="H41" i="2" s="1"/>
  <c r="I41" i="2" s="1"/>
  <c r="G42" i="2"/>
  <c r="H42" i="2" s="1"/>
  <c r="I42" i="2" s="1"/>
  <c r="G43" i="2"/>
  <c r="H43" i="2" s="1"/>
  <c r="I43" i="2" s="1"/>
  <c r="G44" i="2"/>
  <c r="H44" i="2" s="1"/>
  <c r="I44" i="2" s="1"/>
  <c r="G45" i="2"/>
  <c r="H45" i="2" s="1"/>
  <c r="I45" i="2" s="1"/>
  <c r="G46" i="2"/>
  <c r="H46" i="2" s="1"/>
  <c r="I46" i="2" s="1"/>
  <c r="G47" i="2"/>
  <c r="H47" i="2" s="1"/>
  <c r="I47" i="2" s="1"/>
  <c r="G48" i="2"/>
  <c r="H48" i="2" s="1"/>
  <c r="I48" i="2" s="1"/>
  <c r="G49" i="2"/>
  <c r="H49" i="2" s="1"/>
  <c r="I49" i="2" s="1"/>
  <c r="G50" i="2"/>
  <c r="H50" i="2" s="1"/>
  <c r="I50" i="2" s="1"/>
  <c r="G51" i="2"/>
  <c r="H51" i="2" s="1"/>
  <c r="I51" i="2" s="1"/>
  <c r="G52" i="2"/>
  <c r="H52" i="2" s="1"/>
  <c r="I52" i="2" s="1"/>
  <c r="G53" i="2"/>
  <c r="H53" i="2" s="1"/>
  <c r="I53" i="2" s="1"/>
  <c r="G54" i="2"/>
  <c r="H54" i="2" s="1"/>
  <c r="I54" i="2" s="1"/>
  <c r="G55" i="2"/>
  <c r="H55" i="2" s="1"/>
  <c r="I55" i="2" s="1"/>
  <c r="G56" i="2"/>
  <c r="H56" i="2" s="1"/>
  <c r="I56" i="2" s="1"/>
  <c r="G57" i="2"/>
  <c r="H57" i="2" s="1"/>
  <c r="I57" i="2" s="1"/>
  <c r="G58" i="2"/>
  <c r="H58" i="2" s="1"/>
  <c r="I58" i="2" s="1"/>
  <c r="G59" i="2"/>
  <c r="H59" i="2" s="1"/>
  <c r="I59" i="2" s="1"/>
  <c r="G60" i="2"/>
  <c r="H60" i="2" s="1"/>
  <c r="I60" i="2" s="1"/>
  <c r="G61" i="2"/>
  <c r="H61" i="2" s="1"/>
  <c r="I61" i="2" s="1"/>
  <c r="G62" i="2"/>
  <c r="H62" i="2" s="1"/>
  <c r="I62" i="2" s="1"/>
  <c r="G63" i="2"/>
  <c r="H63" i="2" s="1"/>
  <c r="I63" i="2" s="1"/>
  <c r="G64" i="2"/>
  <c r="H64" i="2" s="1"/>
  <c r="I64" i="2" s="1"/>
  <c r="G65" i="2"/>
  <c r="H65" i="2" s="1"/>
  <c r="I65" i="2" s="1"/>
  <c r="G66" i="2"/>
  <c r="H66" i="2" s="1"/>
  <c r="I66" i="2" s="1"/>
  <c r="G67" i="2"/>
  <c r="H67" i="2" s="1"/>
  <c r="I67" i="2" s="1"/>
  <c r="G68" i="2"/>
  <c r="H68" i="2" s="1"/>
  <c r="I68" i="2" s="1"/>
  <c r="G69" i="2"/>
  <c r="H69" i="2" s="1"/>
  <c r="I69" i="2" s="1"/>
  <c r="G70" i="2"/>
  <c r="H70" i="2" s="1"/>
  <c r="I70" i="2" s="1"/>
  <c r="G71" i="2"/>
  <c r="H71" i="2" s="1"/>
  <c r="I71" i="2" s="1"/>
  <c r="G72" i="2"/>
  <c r="H72" i="2" s="1"/>
  <c r="I72" i="2" s="1"/>
  <c r="G73" i="2"/>
  <c r="H73" i="2" s="1"/>
  <c r="I73" i="2" s="1"/>
  <c r="G74" i="2"/>
  <c r="H74" i="2" s="1"/>
  <c r="I74" i="2" s="1"/>
  <c r="G75" i="2"/>
  <c r="H75" i="2" s="1"/>
  <c r="I75" i="2" s="1"/>
  <c r="G76" i="2"/>
  <c r="H76" i="2" s="1"/>
  <c r="I76" i="2" s="1"/>
  <c r="G77" i="2"/>
  <c r="H77" i="2" s="1"/>
  <c r="I77" i="2" s="1"/>
  <c r="G78" i="2"/>
  <c r="H78" i="2" s="1"/>
  <c r="I78" i="2" s="1"/>
  <c r="G79" i="2"/>
  <c r="H79" i="2" s="1"/>
  <c r="I79" i="2" s="1"/>
  <c r="G80" i="2"/>
  <c r="H80" i="2" s="1"/>
  <c r="I80" i="2" s="1"/>
  <c r="G81" i="2"/>
  <c r="H81" i="2" s="1"/>
  <c r="I81" i="2" s="1"/>
  <c r="G82" i="2"/>
  <c r="H82" i="2" s="1"/>
  <c r="I82" i="2" s="1"/>
  <c r="G83" i="2"/>
  <c r="H83" i="2" s="1"/>
  <c r="I83" i="2" s="1"/>
  <c r="G84" i="2"/>
  <c r="H84" i="2" s="1"/>
  <c r="I84" i="2" s="1"/>
  <c r="G85" i="2"/>
  <c r="H85" i="2" s="1"/>
  <c r="I85" i="2" s="1"/>
  <c r="G86" i="2"/>
  <c r="H86" i="2" s="1"/>
  <c r="I86" i="2" s="1"/>
  <c r="G87" i="2"/>
  <c r="H87" i="2" s="1"/>
  <c r="I87" i="2" s="1"/>
  <c r="G88" i="2"/>
  <c r="H88" i="2" s="1"/>
  <c r="I88" i="2" s="1"/>
  <c r="G89" i="2"/>
  <c r="H89" i="2" s="1"/>
  <c r="I89" i="2" s="1"/>
  <c r="G90" i="2"/>
  <c r="H90" i="2" s="1"/>
  <c r="I90" i="2" s="1"/>
  <c r="G91" i="2"/>
  <c r="H91" i="2" s="1"/>
  <c r="I91" i="2" s="1"/>
  <c r="G92" i="2"/>
  <c r="H92" i="2" s="1"/>
  <c r="I92" i="2" s="1"/>
  <c r="G93" i="2"/>
  <c r="H93" i="2" s="1"/>
  <c r="I93" i="2" s="1"/>
  <c r="G94" i="2"/>
  <c r="H94" i="2" s="1"/>
  <c r="I94" i="2" s="1"/>
  <c r="G95" i="2"/>
  <c r="H95" i="2" s="1"/>
  <c r="I95" i="2" s="1"/>
  <c r="G96" i="2"/>
  <c r="H96" i="2" s="1"/>
  <c r="I96" i="2" s="1"/>
  <c r="G97" i="2"/>
  <c r="H97" i="2" s="1"/>
  <c r="I97" i="2" s="1"/>
  <c r="G98" i="2"/>
  <c r="H98" i="2" s="1"/>
  <c r="I98" i="2" s="1"/>
  <c r="G99" i="2"/>
  <c r="H99" i="2" s="1"/>
  <c r="I99" i="2" s="1"/>
  <c r="G100" i="2"/>
  <c r="H100" i="2" s="1"/>
  <c r="I100" i="2" s="1"/>
  <c r="G101" i="2"/>
  <c r="H101" i="2" s="1"/>
  <c r="I101" i="2" s="1"/>
  <c r="G102" i="2"/>
  <c r="H102" i="2" s="1"/>
  <c r="I102" i="2" s="1"/>
  <c r="G103" i="2"/>
  <c r="H103" i="2" s="1"/>
  <c r="I103" i="2" s="1"/>
  <c r="G104" i="2"/>
  <c r="H104" i="2" s="1"/>
  <c r="I104" i="2" s="1"/>
  <c r="G105" i="2"/>
  <c r="H105" i="2" s="1"/>
  <c r="I105" i="2" s="1"/>
  <c r="G106" i="2"/>
  <c r="H106" i="2" s="1"/>
  <c r="I106" i="2" s="1"/>
  <c r="G107" i="2"/>
  <c r="H107" i="2" s="1"/>
  <c r="I107" i="2" s="1"/>
  <c r="G108" i="2"/>
  <c r="H108" i="2" s="1"/>
  <c r="I108" i="2" s="1"/>
  <c r="G109" i="2"/>
  <c r="H109" i="2" s="1"/>
  <c r="I109" i="2" s="1"/>
  <c r="G110" i="2"/>
  <c r="H110" i="2" s="1"/>
  <c r="I110" i="2" s="1"/>
  <c r="G111" i="2"/>
  <c r="H111" i="2" s="1"/>
  <c r="I111" i="2" s="1"/>
  <c r="G112" i="2"/>
  <c r="H112" i="2" s="1"/>
  <c r="I112" i="2" s="1"/>
  <c r="G113" i="2"/>
  <c r="H113" i="2" s="1"/>
  <c r="I113" i="2" s="1"/>
  <c r="G114" i="2"/>
  <c r="H114" i="2" s="1"/>
  <c r="I114" i="2" s="1"/>
  <c r="G115" i="2"/>
  <c r="H115" i="2" s="1"/>
  <c r="I115" i="2" s="1"/>
  <c r="G116" i="2"/>
  <c r="H116" i="2" s="1"/>
  <c r="I116" i="2" s="1"/>
  <c r="G117" i="2"/>
  <c r="H117" i="2" s="1"/>
  <c r="I117" i="2" s="1"/>
  <c r="G118" i="2"/>
  <c r="H118" i="2" s="1"/>
  <c r="I118" i="2" s="1"/>
  <c r="G119" i="2"/>
  <c r="H119" i="2" s="1"/>
  <c r="I119" i="2" s="1"/>
  <c r="G120" i="2"/>
  <c r="H120" i="2" s="1"/>
  <c r="I120" i="2" s="1"/>
  <c r="G121" i="2"/>
  <c r="H121" i="2" s="1"/>
  <c r="I121" i="2" s="1"/>
  <c r="G122" i="2"/>
  <c r="H122" i="2" s="1"/>
  <c r="I122" i="2" s="1"/>
  <c r="G123" i="2"/>
  <c r="H123" i="2" s="1"/>
  <c r="I123" i="2" s="1"/>
  <c r="G124" i="2"/>
  <c r="H124" i="2" s="1"/>
  <c r="I124" i="2" s="1"/>
  <c r="G125" i="2"/>
  <c r="H125" i="2" s="1"/>
  <c r="I125" i="2" s="1"/>
  <c r="G126" i="2"/>
  <c r="H126" i="2" s="1"/>
  <c r="I126" i="2" s="1"/>
  <c r="G127" i="2"/>
  <c r="H127" i="2" s="1"/>
  <c r="I127" i="2" s="1"/>
  <c r="G128" i="2"/>
  <c r="H128" i="2" s="1"/>
  <c r="I128" i="2" s="1"/>
  <c r="G129" i="2"/>
  <c r="H129" i="2" s="1"/>
  <c r="I129" i="2" s="1"/>
  <c r="G130" i="2"/>
  <c r="H130" i="2" s="1"/>
  <c r="I130" i="2" s="1"/>
  <c r="G131" i="2"/>
  <c r="H131" i="2" s="1"/>
  <c r="I131" i="2" s="1"/>
  <c r="G132" i="2"/>
  <c r="H132" i="2" s="1"/>
  <c r="I132" i="2" s="1"/>
  <c r="G133" i="2"/>
  <c r="H133" i="2" s="1"/>
  <c r="I133" i="2" s="1"/>
  <c r="G134" i="2"/>
  <c r="H134" i="2" s="1"/>
  <c r="I134" i="2" s="1"/>
  <c r="G135" i="2"/>
  <c r="H135" i="2" s="1"/>
  <c r="I135" i="2" s="1"/>
  <c r="G136" i="2"/>
  <c r="H136" i="2" s="1"/>
  <c r="I136" i="2" s="1"/>
  <c r="G137" i="2"/>
  <c r="H137" i="2" s="1"/>
  <c r="I137" i="2" s="1"/>
  <c r="G138" i="2"/>
  <c r="H138" i="2" s="1"/>
  <c r="I138" i="2" s="1"/>
  <c r="G139" i="2"/>
  <c r="H139" i="2" s="1"/>
  <c r="I139" i="2" s="1"/>
  <c r="G140" i="2"/>
  <c r="H140" i="2" s="1"/>
  <c r="I140" i="2" s="1"/>
  <c r="G141" i="2"/>
  <c r="H141" i="2" s="1"/>
  <c r="I141" i="2" s="1"/>
  <c r="G142" i="2"/>
  <c r="H142" i="2" s="1"/>
  <c r="I142" i="2" s="1"/>
  <c r="G143" i="2"/>
  <c r="H143" i="2" s="1"/>
  <c r="I143" i="2" s="1"/>
  <c r="G144" i="2"/>
  <c r="H144" i="2" s="1"/>
  <c r="I144" i="2" s="1"/>
  <c r="G145" i="2"/>
  <c r="H145" i="2" s="1"/>
  <c r="I145" i="2" s="1"/>
  <c r="G146" i="2"/>
  <c r="H146" i="2" s="1"/>
  <c r="I146" i="2" s="1"/>
  <c r="G147" i="2"/>
  <c r="H147" i="2" s="1"/>
  <c r="I147" i="2" s="1"/>
  <c r="G148" i="2"/>
  <c r="H148" i="2" s="1"/>
  <c r="I148" i="2" s="1"/>
  <c r="G149" i="2"/>
  <c r="H149" i="2" s="1"/>
  <c r="I149" i="2" s="1"/>
  <c r="G150" i="2"/>
  <c r="H150" i="2" s="1"/>
  <c r="I150" i="2" s="1"/>
  <c r="G151" i="2"/>
  <c r="H151" i="2" s="1"/>
  <c r="I151" i="2" s="1"/>
  <c r="G152" i="2"/>
  <c r="H152" i="2" s="1"/>
  <c r="I152" i="2" s="1"/>
  <c r="G153" i="2"/>
  <c r="H153" i="2" s="1"/>
  <c r="I153" i="2" s="1"/>
  <c r="G154" i="2"/>
  <c r="H154" i="2" s="1"/>
  <c r="I154" i="2" s="1"/>
  <c r="G155" i="2"/>
  <c r="H155" i="2" s="1"/>
  <c r="I155" i="2" s="1"/>
  <c r="G156" i="2"/>
  <c r="H156" i="2" s="1"/>
  <c r="I156" i="2" s="1"/>
  <c r="G157" i="2"/>
  <c r="H157" i="2" s="1"/>
  <c r="I157" i="2" s="1"/>
  <c r="G158" i="2"/>
  <c r="H158" i="2" s="1"/>
  <c r="I158" i="2" s="1"/>
  <c r="G159" i="2"/>
  <c r="H159" i="2" s="1"/>
  <c r="I159" i="2" s="1"/>
  <c r="G160" i="2"/>
  <c r="H160" i="2" s="1"/>
  <c r="I160" i="2" s="1"/>
  <c r="G161" i="2"/>
  <c r="H161" i="2" s="1"/>
  <c r="I161" i="2" s="1"/>
  <c r="G162" i="2"/>
  <c r="H162" i="2" s="1"/>
  <c r="I162" i="2" s="1"/>
</calcChain>
</file>

<file path=xl/sharedStrings.xml><?xml version="1.0" encoding="utf-8"?>
<sst xmlns="http://schemas.openxmlformats.org/spreadsheetml/2006/main" count="766" uniqueCount="102">
  <si>
    <t>Year</t>
  </si>
  <si>
    <t xml:space="preserve">Company </t>
  </si>
  <si>
    <t>Category</t>
  </si>
  <si>
    <t>Market Cap(in B USD)</t>
  </si>
  <si>
    <t>Revenue</t>
  </si>
  <si>
    <t>Gross Profit</t>
  </si>
  <si>
    <t>Net Income</t>
  </si>
  <si>
    <t>Earning Per Share</t>
  </si>
  <si>
    <t>EBITDA</t>
  </si>
  <si>
    <t>Share Holder Equity</t>
  </si>
  <si>
    <t>Cash Flow from Operating</t>
  </si>
  <si>
    <t>Cash Flow from Investing</t>
  </si>
  <si>
    <t>Cash Flow from Financial Activities</t>
  </si>
  <si>
    <t>Current Ratio</t>
  </si>
  <si>
    <t>Debt/Equity Ratio</t>
  </si>
  <si>
    <t>ROE</t>
  </si>
  <si>
    <t>ROA</t>
  </si>
  <si>
    <t>ROI</t>
  </si>
  <si>
    <t>Net Profit Margin</t>
  </si>
  <si>
    <t>Free Cash Flow per Share</t>
  </si>
  <si>
    <t>Return on Tangible Equity</t>
  </si>
  <si>
    <t>Number of Employees</t>
  </si>
  <si>
    <t>Inflation Rate(in US)</t>
  </si>
  <si>
    <t>AAPL</t>
  </si>
  <si>
    <t>IT</t>
  </si>
  <si>
    <t>MSFT</t>
  </si>
  <si>
    <t>GOOG</t>
  </si>
  <si>
    <t>PYPL</t>
  </si>
  <si>
    <t>FinTech</t>
  </si>
  <si>
    <t>AIG</t>
  </si>
  <si>
    <t>Bank</t>
  </si>
  <si>
    <t>PCG</t>
  </si>
  <si>
    <t>Manufacturing</t>
  </si>
  <si>
    <t>SHLDQ</t>
  </si>
  <si>
    <t>Finance</t>
  </si>
  <si>
    <t>MCD</t>
  </si>
  <si>
    <t>FOOD</t>
  </si>
  <si>
    <t>BCS</t>
  </si>
  <si>
    <t>BANK</t>
  </si>
  <si>
    <t>NVDA</t>
  </si>
  <si>
    <t>ELEC</t>
  </si>
  <si>
    <t>INTC</t>
  </si>
  <si>
    <t>AMZN</t>
  </si>
  <si>
    <t>LOGI</t>
  </si>
  <si>
    <t>Industry</t>
  </si>
  <si>
    <t>Tax Rate</t>
  </si>
  <si>
    <t>FINTECH</t>
  </si>
  <si>
    <t>MANUFACTURING</t>
  </si>
  <si>
    <t>FINANCE</t>
  </si>
  <si>
    <t>Tax Amount</t>
  </si>
  <si>
    <t>Profit After Tax</t>
  </si>
  <si>
    <t>Company</t>
  </si>
  <si>
    <t>Profit Margin</t>
  </si>
  <si>
    <t>EBITDA Margin</t>
  </si>
  <si>
    <t>Revenue Growth</t>
  </si>
  <si>
    <t>Net Income Growth</t>
  </si>
  <si>
    <t>Data Status</t>
  </si>
  <si>
    <t>Key</t>
  </si>
  <si>
    <t>PreviousKey</t>
  </si>
  <si>
    <t>Avg Across Companies</t>
  </si>
  <si>
    <t>Revenue Growth (%)</t>
  </si>
  <si>
    <t xml:space="preserve"> Year</t>
  </si>
  <si>
    <t>Avg Growth (2010-2022)</t>
  </si>
  <si>
    <t>Avg Margin (2010-2022)</t>
  </si>
  <si>
    <t>Profit Margin (%)</t>
  </si>
  <si>
    <t>EBITDA Margin (%)</t>
  </si>
  <si>
    <t>Avg EBITDA Margin (2010-2022)</t>
  </si>
  <si>
    <t>Workbook Structure:</t>
  </si>
  <si>
    <t>Data Status Meaning:</t>
  </si>
  <si>
    <t xml:space="preserve">    growth → revenue growth reporting sheet with pivot-based analysis, chart, and short insights</t>
  </si>
  <si>
    <t xml:space="preserve">    profit margin → profit margin reporting sheet with formatted table, chart, and interpretation</t>
  </si>
  <si>
    <t xml:space="preserve">    ebitda margin → EBITDA margin reporting sheet with visual summary and business observations</t>
  </si>
  <si>
    <t xml:space="preserve">    OK → record passed expected checks</t>
  </si>
  <si>
    <t xml:space="preserve">    No prior year → previous-year comparison not available</t>
  </si>
  <si>
    <t xml:space="preserve">    Review high NI growth → unusually high net income growth and may require review</t>
  </si>
  <si>
    <t xml:space="preserve">    Review negative NI base → prior-year net income was negative, so growth requires careful interpretation</t>
  </si>
  <si>
    <t xml:space="preserve">    raw data → original wide-format financial dataset containing multiple company-level financial indicators by year</t>
  </si>
  <si>
    <t xml:space="preserve">    cleaned data → curated dataset built from selected raw fields and newly engineered financial metrics designed for analysis and reporting</t>
  </si>
  <si>
    <t xml:space="preserve">    taxtable → standardized tax-rate mapping by industry category, used as an analytical assumption for tax-related calculations</t>
  </si>
  <si>
    <t>Avg Profit After Tax (2010-2022)</t>
  </si>
  <si>
    <t>Profit After Tax ($B)</t>
  </si>
  <si>
    <t>Project Title:</t>
  </si>
  <si>
    <t>Financial Data Preparation, Validation &amp; Performance and Tax Analysis (2009–2023)</t>
  </si>
  <si>
    <t>Purpose:</t>
  </si>
  <si>
    <t>This workbook analyzes the financial performance of selected public companies across multiple years, focusing on revenue growth, profitability, EBITDA margin, tax-adjusted profitability, absolute performance (Profit After Tax), and year-over-year changes.</t>
  </si>
  <si>
    <t>Business Objective:</t>
  </si>
  <si>
    <t>The objective of this workbook is to support structured financial analysis by combining data preparation, transformation, validation logic, calculated metrics, and reporting. Before interpreting results, it is important to ensure that calculations are consistent, comparable across years, and properly validated.</t>
  </si>
  <si>
    <t>Key Calculations:</t>
  </si>
  <si>
    <t>Tax Amount, Profit After Tax, Profit Margin, EBITDA Margin, Revenue Growth, Net Income Growth, Key, PreviousKey, and Data Status.</t>
  </si>
  <si>
    <t>Transformation Logic:</t>
  </si>
  <si>
    <t>The workbook starts from a wide-format raw dataset containing multiple financial indicators. From this source, relevant fields were selected and structured into a cleaner analytical dataset. Additional business metrics were then engineered to support comparison, interpretation, and reporting.</t>
  </si>
  <si>
    <t>Validation Logic:</t>
  </si>
  <si>
    <t>The workbook uses lookup functions, selective column extraction, year-to-year linking logic, and error handling to improve consistency and support reliable interpretation. Tax-related calculations are supported through a standardized industry tax-rate mapping, while growth calculations use INDEX, MATCH, and IFERROR.</t>
  </si>
  <si>
    <t>Output:</t>
  </si>
  <si>
    <t>The workbook includes structured tables, charts, short insights, and a final PDF presentation summarizing key findings and conclusions, including both relative performance metrics and absolute value generation.</t>
  </si>
  <si>
    <t>Note:</t>
  </si>
  <si>
    <t>The dataset covers the period 2009–2023. However, visual analysis focuses on the 2010–2022 period to ensure data consistency and comparability across all companies.</t>
  </si>
  <si>
    <t>Assumption Note:</t>
  </si>
  <si>
    <t>Tax rates in the tax table are standardized analytical assumptions by industry and are used to support consistent comparative calculations within the workbook. They are included for analytical purposes and do not represent verified company-specific tax rates.</t>
  </si>
  <si>
    <t>Professional Value:</t>
  </si>
  <si>
    <t>This workbook reflects a structured, end-to-end analytical workflow similar to a business reporting pipeline, including data selection, cleaning, transformation, validation, metric engineering, tax-adjusted analysis, and reporting.</t>
  </si>
  <si>
    <t xml:space="preserve">    tax analysis → profit after tax reporting sheet focusing on absolute performance and value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</si>
</sst>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2" formatCode="_(&quot;$&quot;* #,##0_);_(&quot;$&quot;* \(#,##0\);_(&quot;$&quot;* &quot;-&quot;_);_(@_)"/>
    <numFmt numFmtId="44" formatCode="_(&quot;$&quot;* #,##0.00_);_(&quot;$&quot;* \(#,##0.00\);_(&quot;$&quot;* &quot;-&quot;??_);_(@_)"/>
    <numFmt numFmtId="164" formatCode="0.0%"/>
    <numFmt numFmtId="165" formatCode="&quot;$&quot;#,##0.00,&quot;B&quot;"/>
  </numFmts>
  <fonts count="3" x14ac:knownFonts="1">
    <font>
      <sz val="11"/>
      <color theme="1"/>
      <name val="Calibri"/>
      <family val="2"/>
      <scheme val="minor"/>
    </font>
    <font>
      <b/>
      <sz val="11"/>
      <color theme="1"/>
      <name val="Calibri"/>
      <family val="2"/>
      <scheme val="minor"/>
    </font>
    <font>
      <b/>
      <sz val="11"/>
      <color theme="1"/>
      <name val="Calibri"/>
      <scheme val="minor"/>
    </font>
  </fonts>
  <fills count="6">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theme="2"/>
        <bgColor indexed="64"/>
      </patternFill>
    </fill>
    <fill>
      <patternFill patternType="solid">
        <fgColor rgb="FFF2F6FA"/>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s>
  <cellStyleXfs count="1">
    <xf numFmtId="0" fontId="0" fillId="0" borderId="0"/>
  </cellStyleXfs>
  <cellXfs count="89">
    <xf numFmtId="0" fontId="0" fillId="0" borderId="0" xfId="0"/>
    <xf numFmtId="0" fontId="0" fillId="0" borderId="0" xfId="0" applyAlignment="1">
      <alignment horizontal="center"/>
    </xf>
    <xf numFmtId="0" fontId="1" fillId="0" borderId="0" xfId="0" applyFont="1" applyAlignment="1">
      <alignment horizontal="center"/>
    </xf>
    <xf numFmtId="0" fontId="0" fillId="0" borderId="1" xfId="0" applyBorder="1" applyAlignment="1">
      <alignment horizontal="center" vertical="center"/>
    </xf>
    <xf numFmtId="44" fontId="0" fillId="0" borderId="0" xfId="0" applyNumberFormat="1"/>
    <xf numFmtId="44" fontId="0" fillId="0" borderId="1" xfId="0" applyNumberFormat="1" applyBorder="1" applyAlignment="1">
      <alignment horizontal="right" vertical="center"/>
    </xf>
    <xf numFmtId="44" fontId="0" fillId="0" borderId="0" xfId="0" applyNumberFormat="1" applyAlignment="1">
      <alignment horizontal="center"/>
    </xf>
    <xf numFmtId="0" fontId="0" fillId="0" borderId="2" xfId="0"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44" fontId="1" fillId="2" borderId="5" xfId="0" applyNumberFormat="1"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44" fontId="0" fillId="0" borderId="8" xfId="0" applyNumberFormat="1" applyBorder="1" applyAlignment="1">
      <alignment horizontal="right" vertical="center"/>
    </xf>
    <xf numFmtId="0" fontId="0" fillId="0" borderId="2" xfId="0" applyBorder="1" applyAlignment="1">
      <alignment wrapText="1"/>
    </xf>
    <xf numFmtId="9" fontId="0" fillId="0" borderId="3" xfId="0" applyNumberFormat="1" applyBorder="1" applyAlignment="1">
      <alignment wrapText="1"/>
    </xf>
    <xf numFmtId="0" fontId="1" fillId="2" borderId="4" xfId="0" applyFont="1" applyFill="1" applyBorder="1" applyAlignment="1">
      <alignment horizontal="center" wrapText="1"/>
    </xf>
    <xf numFmtId="0" fontId="1" fillId="2" borderId="6" xfId="0" applyFont="1" applyFill="1" applyBorder="1" applyAlignment="1">
      <alignment horizontal="center" wrapText="1"/>
    </xf>
    <xf numFmtId="0" fontId="0" fillId="0" borderId="7" xfId="0" applyBorder="1" applyAlignment="1">
      <alignment wrapText="1"/>
    </xf>
    <xf numFmtId="9" fontId="0" fillId="0" borderId="9" xfId="0" applyNumberFormat="1" applyBorder="1" applyAlignment="1">
      <alignment wrapText="1"/>
    </xf>
    <xf numFmtId="0" fontId="0" fillId="0" borderId="0" xfId="0" applyBorder="1" applyAlignment="1">
      <alignment wrapText="1"/>
    </xf>
    <xf numFmtId="9" fontId="0" fillId="0" borderId="0" xfId="0" applyNumberFormat="1" applyBorder="1" applyAlignment="1">
      <alignment wrapText="1"/>
    </xf>
    <xf numFmtId="9" fontId="1" fillId="2" borderId="6" xfId="0" applyNumberFormat="1" applyFont="1" applyFill="1" applyBorder="1" applyAlignment="1">
      <alignment horizontal="center" vertical="center"/>
    </xf>
    <xf numFmtId="9" fontId="0" fillId="0" borderId="3" xfId="0" applyNumberFormat="1" applyBorder="1" applyAlignment="1">
      <alignment horizontal="right" vertical="center"/>
    </xf>
    <xf numFmtId="9" fontId="0" fillId="0" borderId="9" xfId="0" applyNumberFormat="1" applyBorder="1" applyAlignment="1">
      <alignment horizontal="right" vertical="center"/>
    </xf>
    <xf numFmtId="9" fontId="0" fillId="0" borderId="0" xfId="0" applyNumberFormat="1" applyAlignment="1">
      <alignment horizontal="center"/>
    </xf>
    <xf numFmtId="44" fontId="0" fillId="0" borderId="5" xfId="0" applyNumberFormat="1" applyBorder="1" applyAlignment="1">
      <alignment horizontal="right" vertical="center"/>
    </xf>
    <xf numFmtId="0" fontId="0" fillId="0" borderId="0" xfId="0" applyNumberFormat="1"/>
    <xf numFmtId="44" fontId="2" fillId="2" borderId="5" xfId="0" applyNumberFormat="1" applyFont="1" applyFill="1" applyBorder="1" applyAlignment="1">
      <alignment horizontal="center" vertical="center"/>
    </xf>
    <xf numFmtId="10" fontId="0" fillId="0" borderId="5" xfId="0" applyNumberFormat="1" applyBorder="1" applyAlignment="1">
      <alignment horizontal="right" vertical="center"/>
    </xf>
    <xf numFmtId="0" fontId="0" fillId="0" borderId="5" xfId="0" applyNumberFormat="1" applyBorder="1" applyAlignment="1">
      <alignment horizontal="right" vertical="center"/>
    </xf>
    <xf numFmtId="0" fontId="2" fillId="2" borderId="5" xfId="0" applyNumberFormat="1" applyFont="1" applyFill="1" applyBorder="1" applyAlignment="1">
      <alignment horizontal="center" vertical="center"/>
    </xf>
    <xf numFmtId="0" fontId="0" fillId="0" borderId="1" xfId="0" applyNumberFormat="1" applyBorder="1" applyAlignment="1">
      <alignment horizontal="right" vertical="center"/>
    </xf>
    <xf numFmtId="0" fontId="0" fillId="0" borderId="8" xfId="0" applyNumberFormat="1" applyBorder="1" applyAlignment="1">
      <alignment horizontal="right" vertical="center"/>
    </xf>
    <xf numFmtId="10" fontId="2" fillId="2" borderId="5" xfId="0" applyNumberFormat="1" applyFont="1" applyFill="1" applyBorder="1" applyAlignment="1">
      <alignment horizontal="center" vertical="center"/>
    </xf>
    <xf numFmtId="10" fontId="0" fillId="0" borderId="1" xfId="0" applyNumberFormat="1" applyBorder="1" applyAlignment="1">
      <alignment horizontal="right" vertical="center"/>
    </xf>
    <xf numFmtId="10" fontId="0" fillId="0" borderId="8" xfId="0" applyNumberFormat="1" applyBorder="1" applyAlignment="1">
      <alignment horizontal="right" vertical="center"/>
    </xf>
    <xf numFmtId="10" fontId="0" fillId="0" borderId="0" xfId="0" applyNumberFormat="1" applyAlignment="1">
      <alignment horizontal="center"/>
    </xf>
    <xf numFmtId="164" fontId="0" fillId="0" borderId="1" xfId="0" applyNumberFormat="1" applyBorder="1" applyAlignment="1">
      <alignment horizontal="center"/>
    </xf>
    <xf numFmtId="164" fontId="0" fillId="0" borderId="11" xfId="0" applyNumberFormat="1" applyBorder="1" applyAlignment="1">
      <alignment horizontal="center"/>
    </xf>
    <xf numFmtId="0" fontId="1" fillId="3" borderId="12" xfId="0" applyFont="1" applyFill="1" applyBorder="1" applyAlignment="1">
      <alignment horizontal="center"/>
    </xf>
    <xf numFmtId="164" fontId="0" fillId="0" borderId="5" xfId="0" applyNumberFormat="1" applyBorder="1" applyAlignment="1">
      <alignment horizontal="center"/>
    </xf>
    <xf numFmtId="164" fontId="0" fillId="0" borderId="17" xfId="0" applyNumberFormat="1" applyBorder="1" applyAlignment="1">
      <alignment horizontal="center"/>
    </xf>
    <xf numFmtId="0" fontId="1" fillId="3" borderId="18" xfId="0" applyFont="1" applyFill="1" applyBorder="1" applyAlignment="1">
      <alignment horizontal="center"/>
    </xf>
    <xf numFmtId="0" fontId="1" fillId="3" borderId="19" xfId="0" applyFont="1" applyFill="1" applyBorder="1" applyAlignment="1">
      <alignment horizontal="center"/>
    </xf>
    <xf numFmtId="0" fontId="1" fillId="3" borderId="20" xfId="0" applyFont="1" applyFill="1" applyBorder="1" applyAlignment="1">
      <alignment horizontal="center"/>
    </xf>
    <xf numFmtId="0" fontId="1" fillId="3" borderId="21" xfId="0" applyFont="1" applyFill="1" applyBorder="1" applyAlignment="1">
      <alignment horizontal="center"/>
    </xf>
    <xf numFmtId="0" fontId="1" fillId="3" borderId="22" xfId="0" applyFont="1" applyFill="1" applyBorder="1" applyAlignment="1">
      <alignment horizontal="center"/>
    </xf>
    <xf numFmtId="0" fontId="1" fillId="3" borderId="23" xfId="0" applyFont="1" applyFill="1" applyBorder="1" applyAlignment="1">
      <alignment horizontal="center"/>
    </xf>
    <xf numFmtId="164" fontId="0" fillId="0" borderId="8" xfId="0" applyNumberFormat="1" applyBorder="1" applyAlignment="1">
      <alignment horizontal="center"/>
    </xf>
    <xf numFmtId="164" fontId="0" fillId="0" borderId="26" xfId="0" applyNumberFormat="1" applyBorder="1" applyAlignment="1">
      <alignment horizontal="center"/>
    </xf>
    <xf numFmtId="0" fontId="1" fillId="3" borderId="24" xfId="0" applyFont="1" applyFill="1" applyBorder="1" applyAlignment="1">
      <alignment horizontal="center"/>
    </xf>
    <xf numFmtId="164" fontId="0" fillId="0" borderId="19" xfId="0" applyNumberFormat="1" applyBorder="1" applyAlignment="1">
      <alignment horizontal="center"/>
    </xf>
    <xf numFmtId="164" fontId="0" fillId="0" borderId="20" xfId="0" applyNumberFormat="1" applyBorder="1" applyAlignment="1">
      <alignment horizontal="center"/>
    </xf>
    <xf numFmtId="0" fontId="1" fillId="4" borderId="0" xfId="0" applyFont="1" applyFill="1" applyAlignment="1">
      <alignment horizontal="center"/>
    </xf>
    <xf numFmtId="42" fontId="1" fillId="2" borderId="5" xfId="0" applyNumberFormat="1" applyFont="1" applyFill="1" applyBorder="1" applyAlignment="1">
      <alignment horizontal="center" vertical="center"/>
    </xf>
    <xf numFmtId="0" fontId="0" fillId="0" borderId="0" xfId="0" applyAlignment="1">
      <alignment horizontal="left"/>
    </xf>
    <xf numFmtId="0" fontId="1" fillId="3" borderId="27" xfId="0" applyFont="1" applyFill="1" applyBorder="1" applyAlignment="1">
      <alignment horizontal="center" vertical="center"/>
    </xf>
    <xf numFmtId="0" fontId="1" fillId="3" borderId="18" xfId="0" applyFont="1" applyFill="1" applyBorder="1" applyAlignment="1">
      <alignment horizontal="center" vertical="center"/>
    </xf>
    <xf numFmtId="0" fontId="1" fillId="3" borderId="19" xfId="0" applyFont="1" applyFill="1" applyBorder="1" applyAlignment="1">
      <alignment horizontal="center" vertical="center"/>
    </xf>
    <xf numFmtId="0" fontId="1" fillId="3" borderId="20" xfId="0" applyFont="1" applyFill="1" applyBorder="1" applyAlignment="1">
      <alignment horizontal="center" vertical="center"/>
    </xf>
    <xf numFmtId="0" fontId="1" fillId="3" borderId="15" xfId="0" applyFont="1" applyFill="1" applyBorder="1" applyAlignment="1">
      <alignment horizontal="center" vertical="center"/>
    </xf>
    <xf numFmtId="165" fontId="0" fillId="0" borderId="5" xfId="0" applyNumberFormat="1" applyBorder="1" applyAlignment="1">
      <alignment horizontal="center" vertical="center"/>
    </xf>
    <xf numFmtId="165" fontId="0" fillId="0" borderId="17" xfId="0" applyNumberFormat="1" applyBorder="1" applyAlignment="1">
      <alignment horizontal="center" vertical="center"/>
    </xf>
    <xf numFmtId="165" fontId="0" fillId="0" borderId="1" xfId="0" applyNumberFormat="1" applyBorder="1" applyAlignment="1">
      <alignment horizontal="center" vertical="center"/>
    </xf>
    <xf numFmtId="165" fontId="0" fillId="0" borderId="8" xfId="0" applyNumberFormat="1" applyBorder="1" applyAlignment="1">
      <alignment horizontal="center" vertical="center"/>
    </xf>
    <xf numFmtId="165" fontId="0" fillId="0" borderId="19" xfId="0" applyNumberFormat="1" applyBorder="1" applyAlignment="1">
      <alignment horizontal="center" vertical="center"/>
    </xf>
    <xf numFmtId="165" fontId="0" fillId="0" borderId="20" xfId="0" applyNumberFormat="1" applyBorder="1" applyAlignment="1">
      <alignment horizontal="center" vertical="center"/>
    </xf>
    <xf numFmtId="164" fontId="0" fillId="0" borderId="19" xfId="0" applyNumberFormat="1" applyFill="1" applyBorder="1" applyAlignment="1">
      <alignment horizontal="center"/>
    </xf>
    <xf numFmtId="0" fontId="0" fillId="5" borderId="29" xfId="0" applyFill="1" applyBorder="1" applyAlignment="1">
      <alignment horizontal="center" vertical="center"/>
    </xf>
    <xf numFmtId="0" fontId="0" fillId="5" borderId="30" xfId="0" applyFill="1" applyBorder="1" applyAlignment="1">
      <alignment horizontal="center" vertical="center"/>
    </xf>
    <xf numFmtId="0" fontId="0" fillId="5" borderId="31" xfId="0" applyFill="1" applyBorder="1" applyAlignment="1">
      <alignment horizontal="center" vertical="center"/>
    </xf>
    <xf numFmtId="0" fontId="0" fillId="5" borderId="16" xfId="0" applyFill="1" applyBorder="1" applyAlignment="1">
      <alignment horizontal="center"/>
    </xf>
    <xf numFmtId="0" fontId="0" fillId="5" borderId="10" xfId="0" applyFill="1" applyBorder="1" applyAlignment="1">
      <alignment horizontal="center"/>
    </xf>
    <xf numFmtId="0" fontId="0" fillId="5" borderId="25" xfId="0" applyFill="1" applyBorder="1" applyAlignment="1">
      <alignment horizontal="center"/>
    </xf>
    <xf numFmtId="165" fontId="0" fillId="0" borderId="28" xfId="0" applyNumberFormat="1" applyBorder="1" applyAlignment="1">
      <alignment horizontal="center" vertical="center"/>
    </xf>
    <xf numFmtId="0" fontId="1" fillId="3" borderId="13" xfId="0" applyFont="1" applyFill="1" applyBorder="1" applyAlignment="1">
      <alignment horizontal="center"/>
    </xf>
    <xf numFmtId="0" fontId="1" fillId="3" borderId="14" xfId="0" applyFont="1" applyFill="1" applyBorder="1" applyAlignment="1">
      <alignment horizontal="center"/>
    </xf>
    <xf numFmtId="0" fontId="1" fillId="3" borderId="15" xfId="0" applyFont="1" applyFill="1" applyBorder="1" applyAlignment="1">
      <alignment horizontal="center"/>
    </xf>
    <xf numFmtId="0" fontId="1" fillId="3" borderId="19" xfId="0" applyFont="1" applyFill="1" applyBorder="1" applyAlignment="1">
      <alignment horizontal="center"/>
    </xf>
    <xf numFmtId="0" fontId="1" fillId="3" borderId="20" xfId="0" applyFont="1" applyFill="1" applyBorder="1" applyAlignment="1">
      <alignment horizontal="center"/>
    </xf>
    <xf numFmtId="0" fontId="1" fillId="3" borderId="24"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0" fillId="0" borderId="0" xfId="0" applyAlignment="1">
      <alignment wrapText="1"/>
    </xf>
    <xf numFmtId="0" fontId="1" fillId="5" borderId="0" xfId="0" applyFont="1" applyFill="1" applyAlignment="1">
      <alignment vertical="center"/>
    </xf>
    <xf numFmtId="0" fontId="0" fillId="5" borderId="0" xfId="0" applyFill="1" applyAlignment="1">
      <alignment vertical="center"/>
    </xf>
    <xf numFmtId="0" fontId="0" fillId="5" borderId="0" xfId="0" applyFill="1" applyAlignment="1">
      <alignment vertical="center" wrapText="1"/>
    </xf>
    <xf numFmtId="0" fontId="0" fillId="5" borderId="0" xfId="0" applyFill="1"/>
  </cellXfs>
  <cellStyles count="1">
    <cellStyle name="Normal" xfId="0" builtinId="0"/>
  </cellStyles>
  <dxfs count="26">
    <dxf>
      <numFmt numFmtId="13" formatCode="0%"/>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5" tint="0.39997558519241921"/>
        </patternFill>
      </fill>
      <alignment horizontal="center" vertical="bottom" textRotation="0" wrapText="1" indent="0" justifyLastLine="0" shrinkToFit="0" readingOrder="0"/>
      <border diagonalUp="0" diagonalDown="0" outline="0">
        <left style="thin">
          <color indexed="64"/>
        </left>
        <right style="thin">
          <color indexed="64"/>
        </right>
        <top/>
        <bottom/>
      </border>
    </dxf>
    <dxf>
      <numFmt numFmtId="34" formatCode="_(&quot;$&quot;* #,##0.00_);_(&quot;$&quot;* \(#,##0.00\);_(&quot;$&quot;* &quot;-&quot;??_);_(@_)"/>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34" formatCode="_(&quot;$&quot;* #,##0.00_);_(&quot;$&quot;* \(#,##0.00\);_(&quot;$&quot;* &quot;-&quot;??_);_(@_)"/>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alignment horizontal="right" vertical="center" textRotation="0" wrapText="0" indent="0" justifyLastLine="0" shrinkToFit="0" readingOrder="0"/>
      <border diagonalUp="0" diagonalDown="0">
        <left style="thin">
          <color indexed="64"/>
        </left>
        <right/>
        <top style="thin">
          <color indexed="64"/>
        </top>
        <bottom style="thin">
          <color indexed="64"/>
        </bottom>
      </border>
    </dxf>
    <dxf>
      <numFmt numFmtId="34" formatCode="_(&quot;$&quot;* #,##0.00_);_(&quot;$&quot;* \(#,##0.00\);_(&quot;$&quot;* &quot;-&quot;??_);_(@_)"/>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scheme val="minor"/>
      </font>
      <numFmt numFmtId="34" formatCode="_(&quot;$&quot;* #,##0.00_);_(&quot;$&quot;* \(#,##0.00\);_(&quot;$&quot;* &quot;-&quot;??_);_(@_)"/>
      <fill>
        <patternFill patternType="solid">
          <fgColor indexed="64"/>
          <bgColor theme="5" tint="0.3999755851924192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2F6FA"/>
      <color rgb="FFE6EEF7"/>
      <color rgb="FFC6E0B4"/>
      <color rgb="FFFF5D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Revenue Growth by Company (2010–2022)</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Growth!$C$10</c:f>
              <c:strCache>
                <c:ptCount val="1"/>
                <c:pt idx="0">
                  <c:v>AAPL</c:v>
                </c:pt>
              </c:strCache>
            </c:strRef>
          </c:tx>
          <c:spPr>
            <a:ln w="28575" cap="rnd">
              <a:solidFill>
                <a:schemeClr val="accent1"/>
              </a:solidFill>
              <a:round/>
            </a:ln>
            <a:effectLst/>
          </c:spPr>
          <c:marker>
            <c:symbol val="none"/>
          </c:marker>
          <c:cat>
            <c:numRef>
              <c:f>Growth!$B$11:$B$23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Growth!$C$11:$C$23</c:f>
              <c:numCache>
                <c:formatCode>0.0%</c:formatCode>
                <c:ptCount val="13"/>
                <c:pt idx="0">
                  <c:v>0.52021908868430256</c:v>
                </c:pt>
                <c:pt idx="1">
                  <c:v>0.65962437715599842</c:v>
                </c:pt>
                <c:pt idx="2">
                  <c:v>0.44581474193756987</c:v>
                </c:pt>
                <c:pt idx="3">
                  <c:v>9.202085516395328E-2</c:v>
                </c:pt>
                <c:pt idx="4">
                  <c:v>6.9539523725937621E-2</c:v>
                </c:pt>
                <c:pt idx="5">
                  <c:v>0.2785634180365984</c:v>
                </c:pt>
                <c:pt idx="6">
                  <c:v>-7.734206191301371E-2</c:v>
                </c:pt>
                <c:pt idx="7">
                  <c:v>6.3045181993980681E-2</c:v>
                </c:pt>
                <c:pt idx="8">
                  <c:v>0.15861957650261305</c:v>
                </c:pt>
                <c:pt idx="9">
                  <c:v>-2.0410775805267418E-2</c:v>
                </c:pt>
                <c:pt idx="10">
                  <c:v>5.5120803769784836E-2</c:v>
                </c:pt>
                <c:pt idx="11">
                  <c:v>0.33259384733074693</c:v>
                </c:pt>
                <c:pt idx="12">
                  <c:v>7.7937876041846058E-2</c:v>
                </c:pt>
              </c:numCache>
            </c:numRef>
          </c:val>
          <c:smooth val="0"/>
          <c:extLst>
            <c:ext xmlns:c16="http://schemas.microsoft.com/office/drawing/2014/chart" uri="{C3380CC4-5D6E-409C-BE32-E72D297353CC}">
              <c16:uniqueId val="{00000000-C36B-455A-AA11-C3E298E0B936}"/>
            </c:ext>
          </c:extLst>
        </c:ser>
        <c:ser>
          <c:idx val="1"/>
          <c:order val="1"/>
          <c:tx>
            <c:strRef>
              <c:f>Growth!$D$10</c:f>
              <c:strCache>
                <c:ptCount val="1"/>
                <c:pt idx="0">
                  <c:v>AMZN</c:v>
                </c:pt>
              </c:strCache>
            </c:strRef>
          </c:tx>
          <c:spPr>
            <a:ln w="28575" cap="rnd">
              <a:solidFill>
                <a:schemeClr val="accent2"/>
              </a:solidFill>
              <a:round/>
            </a:ln>
            <a:effectLst/>
          </c:spPr>
          <c:marker>
            <c:symbol val="none"/>
          </c:marker>
          <c:cat>
            <c:numRef>
              <c:f>Growth!$B$11:$B$23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Growth!$D$11:$D$23</c:f>
              <c:numCache>
                <c:formatCode>0.0%</c:formatCode>
                <c:ptCount val="13"/>
                <c:pt idx="0">
                  <c:v>0.3955689746623689</c:v>
                </c:pt>
                <c:pt idx="1">
                  <c:v>0.40559583674424043</c:v>
                </c:pt>
                <c:pt idx="2">
                  <c:v>0.27073236682821306</c:v>
                </c:pt>
                <c:pt idx="3">
                  <c:v>0.21866662301736697</c:v>
                </c:pt>
                <c:pt idx="4">
                  <c:v>0.19523988610111212</c:v>
                </c:pt>
                <c:pt idx="5">
                  <c:v>0.20247673843664316</c:v>
                </c:pt>
                <c:pt idx="6">
                  <c:v>0.27083528026465803</c:v>
                </c:pt>
                <c:pt idx="7">
                  <c:v>0.30796326119408474</c:v>
                </c:pt>
                <c:pt idx="8">
                  <c:v>0.3093396152159491</c:v>
                </c:pt>
                <c:pt idx="9">
                  <c:v>0.2045412582067698</c:v>
                </c:pt>
                <c:pt idx="10">
                  <c:v>0.37623430604373276</c:v>
                </c:pt>
                <c:pt idx="11">
                  <c:v>0.21695366571345684</c:v>
                </c:pt>
                <c:pt idx="12">
                  <c:v>9.3995172639850841E-2</c:v>
                </c:pt>
              </c:numCache>
            </c:numRef>
          </c:val>
          <c:smooth val="0"/>
          <c:extLst>
            <c:ext xmlns:c16="http://schemas.microsoft.com/office/drawing/2014/chart" uri="{C3380CC4-5D6E-409C-BE32-E72D297353CC}">
              <c16:uniqueId val="{00000001-C36B-455A-AA11-C3E298E0B936}"/>
            </c:ext>
          </c:extLst>
        </c:ser>
        <c:ser>
          <c:idx val="2"/>
          <c:order val="2"/>
          <c:tx>
            <c:strRef>
              <c:f>Growth!$E$10</c:f>
              <c:strCache>
                <c:ptCount val="1"/>
                <c:pt idx="0">
                  <c:v>GOOG</c:v>
                </c:pt>
              </c:strCache>
            </c:strRef>
          </c:tx>
          <c:spPr>
            <a:ln w="28575" cap="rnd">
              <a:solidFill>
                <a:schemeClr val="accent3"/>
              </a:solidFill>
              <a:round/>
            </a:ln>
            <a:effectLst/>
          </c:spPr>
          <c:marker>
            <c:symbol val="none"/>
          </c:marker>
          <c:cat>
            <c:numRef>
              <c:f>Growth!$B$11:$B$23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Growth!$E$11:$E$23</c:f>
              <c:numCache>
                <c:formatCode>0.0%</c:formatCode>
                <c:ptCount val="13"/>
                <c:pt idx="0">
                  <c:v>0.23973616337575579</c:v>
                </c:pt>
                <c:pt idx="1">
                  <c:v>0.29275945568022921</c:v>
                </c:pt>
                <c:pt idx="2">
                  <c:v>0.21458910433979686</c:v>
                </c:pt>
                <c:pt idx="3">
                  <c:v>0.20591237863550468</c:v>
                </c:pt>
                <c:pt idx="4">
                  <c:v>0.18880023055170303</c:v>
                </c:pt>
                <c:pt idx="5">
                  <c:v>0.13617975485219921</c:v>
                </c:pt>
                <c:pt idx="6">
                  <c:v>0.20380322447292271</c:v>
                </c:pt>
                <c:pt idx="7">
                  <c:v>0.22801090038993266</c:v>
                </c:pt>
                <c:pt idx="8">
                  <c:v>0.23421586757475982</c:v>
                </c:pt>
                <c:pt idx="9">
                  <c:v>0.18300089899794619</c:v>
                </c:pt>
                <c:pt idx="10">
                  <c:v>0.12770532012826136</c:v>
                </c:pt>
                <c:pt idx="11">
                  <c:v>0.41150076427049148</c:v>
                </c:pt>
                <c:pt idx="12">
                  <c:v>9.7808156437157706E-2</c:v>
                </c:pt>
              </c:numCache>
            </c:numRef>
          </c:val>
          <c:smooth val="0"/>
          <c:extLst>
            <c:ext xmlns:c16="http://schemas.microsoft.com/office/drawing/2014/chart" uri="{C3380CC4-5D6E-409C-BE32-E72D297353CC}">
              <c16:uniqueId val="{00000002-C36B-455A-AA11-C3E298E0B936}"/>
            </c:ext>
          </c:extLst>
        </c:ser>
        <c:ser>
          <c:idx val="3"/>
          <c:order val="3"/>
          <c:tx>
            <c:strRef>
              <c:f>Growth!$F$10</c:f>
              <c:strCache>
                <c:ptCount val="1"/>
                <c:pt idx="0">
                  <c:v>MSFT</c:v>
                </c:pt>
              </c:strCache>
            </c:strRef>
          </c:tx>
          <c:spPr>
            <a:ln w="28575" cap="rnd">
              <a:solidFill>
                <a:schemeClr val="accent4"/>
              </a:solidFill>
              <a:round/>
            </a:ln>
            <a:effectLst/>
          </c:spPr>
          <c:marker>
            <c:symbol val="none"/>
          </c:marker>
          <c:cat>
            <c:numRef>
              <c:f>Growth!$B$11:$B$23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Growth!$F$11:$F$23</c:f>
              <c:numCache>
                <c:formatCode>0.0%</c:formatCode>
                <c:ptCount val="13"/>
                <c:pt idx="0">
                  <c:v>6.9254068484008419E-2</c:v>
                </c:pt>
                <c:pt idx="1">
                  <c:v>0.11937455988733116</c:v>
                </c:pt>
                <c:pt idx="2">
                  <c:v>5.404400726305706E-2</c:v>
                </c:pt>
                <c:pt idx="3">
                  <c:v>5.5966252051598553E-2</c:v>
                </c:pt>
                <c:pt idx="4">
                  <c:v>0.11540289534868785</c:v>
                </c:pt>
                <c:pt idx="5">
                  <c:v>7.7700874091647179E-2</c:v>
                </c:pt>
                <c:pt idx="6">
                  <c:v>-2.592434280829237E-2</c:v>
                </c:pt>
                <c:pt idx="7">
                  <c:v>5.9426903920837264E-2</c:v>
                </c:pt>
                <c:pt idx="8">
                  <c:v>0.14278613662486667</c:v>
                </c:pt>
                <c:pt idx="9">
                  <c:v>0.14029539688292861</c:v>
                </c:pt>
                <c:pt idx="10">
                  <c:v>0.13645574247276368</c:v>
                </c:pt>
                <c:pt idx="11">
                  <c:v>0.175317274411775</c:v>
                </c:pt>
                <c:pt idx="12">
                  <c:v>0.17956070629670173</c:v>
                </c:pt>
              </c:numCache>
            </c:numRef>
          </c:val>
          <c:smooth val="0"/>
          <c:extLst>
            <c:ext xmlns:c16="http://schemas.microsoft.com/office/drawing/2014/chart" uri="{C3380CC4-5D6E-409C-BE32-E72D297353CC}">
              <c16:uniqueId val="{00000003-C36B-455A-AA11-C3E298E0B936}"/>
            </c:ext>
          </c:extLst>
        </c:ser>
        <c:ser>
          <c:idx val="4"/>
          <c:order val="4"/>
          <c:tx>
            <c:strRef>
              <c:f>Growth!$G$10</c:f>
              <c:strCache>
                <c:ptCount val="1"/>
                <c:pt idx="0">
                  <c:v>NVDA</c:v>
                </c:pt>
              </c:strCache>
            </c:strRef>
          </c:tx>
          <c:spPr>
            <a:ln w="28575" cap="rnd">
              <a:solidFill>
                <a:schemeClr val="accent5"/>
              </a:solidFill>
              <a:round/>
            </a:ln>
            <a:effectLst/>
          </c:spPr>
          <c:marker>
            <c:symbol val="none"/>
          </c:marker>
          <c:cat>
            <c:numRef>
              <c:f>Growth!$B$11:$B$23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Growth!$G$11:$G$23</c:f>
              <c:numCache>
                <c:formatCode>0.0%</c:formatCode>
                <c:ptCount val="13"/>
                <c:pt idx="0">
                  <c:v>-2.8735197565797531E-2</c:v>
                </c:pt>
                <c:pt idx="1">
                  <c:v>6.5193923242380381E-2</c:v>
                </c:pt>
                <c:pt idx="2">
                  <c:v>0.12830407960468579</c:v>
                </c:pt>
                <c:pt idx="3">
                  <c:v>7.0593782282331069E-2</c:v>
                </c:pt>
                <c:pt idx="4">
                  <c:v>-3.5082575203397741E-2</c:v>
                </c:pt>
                <c:pt idx="5">
                  <c:v>0.13365617433414043</c:v>
                </c:pt>
                <c:pt idx="6">
                  <c:v>7.0055531824006839E-2</c:v>
                </c:pt>
                <c:pt idx="7">
                  <c:v>0.37924151696606784</c:v>
                </c:pt>
                <c:pt idx="8">
                  <c:v>0.4057887120115774</c:v>
                </c:pt>
                <c:pt idx="9">
                  <c:v>0.20609429689108502</c:v>
                </c:pt>
                <c:pt idx="10">
                  <c:v>-6.8111983612154314E-2</c:v>
                </c:pt>
                <c:pt idx="11">
                  <c:v>0.52729437625938813</c:v>
                </c:pt>
                <c:pt idx="12">
                  <c:v>0.61403298350824587</c:v>
                </c:pt>
              </c:numCache>
            </c:numRef>
          </c:val>
          <c:smooth val="0"/>
          <c:extLst>
            <c:ext xmlns:c16="http://schemas.microsoft.com/office/drawing/2014/chart" uri="{C3380CC4-5D6E-409C-BE32-E72D297353CC}">
              <c16:uniqueId val="{00000004-C36B-455A-AA11-C3E298E0B936}"/>
            </c:ext>
          </c:extLst>
        </c:ser>
        <c:dLbls>
          <c:showLegendKey val="0"/>
          <c:showVal val="0"/>
          <c:showCatName val="0"/>
          <c:showSerName val="0"/>
          <c:showPercent val="0"/>
          <c:showBubbleSize val="0"/>
        </c:dLbls>
        <c:smooth val="0"/>
        <c:axId val="839919423"/>
        <c:axId val="839920255"/>
      </c:lineChart>
      <c:catAx>
        <c:axId val="839919423"/>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Year</a:t>
                </a:r>
              </a:p>
            </c:rich>
          </c:tx>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9920255"/>
        <c:crosses val="autoZero"/>
        <c:auto val="1"/>
        <c:lblAlgn val="ctr"/>
        <c:lblOffset val="100"/>
        <c:noMultiLvlLbl val="0"/>
      </c:catAx>
      <c:valAx>
        <c:axId val="839920255"/>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Revenue Growth (%)</a:t>
                </a:r>
              </a:p>
            </c:rich>
          </c:tx>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39919423"/>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587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Margin by Company (2010–2022</a:t>
            </a:r>
            <a:r>
              <a:rPr lang="en-US"/>
              <a: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'Profit Margin'!$C$9</c:f>
              <c:strCache>
                <c:ptCount val="1"/>
                <c:pt idx="0">
                  <c:v>AAPL</c:v>
                </c:pt>
              </c:strCache>
            </c:strRef>
          </c:tx>
          <c:spPr>
            <a:ln w="28575" cap="rnd">
              <a:solidFill>
                <a:schemeClr val="accent1"/>
              </a:solidFill>
              <a:round/>
            </a:ln>
            <a:effectLst/>
          </c:spPr>
          <c:marker>
            <c:symbol val="none"/>
          </c:marker>
          <c:cat>
            <c:numRef>
              <c:f>'Profit Margin'!$B$10:$B$22</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'Profit Margin'!$C$10:$C$22</c:f>
              <c:numCache>
                <c:formatCode>0.0%</c:formatCode>
                <c:ptCount val="13"/>
                <c:pt idx="0">
                  <c:v>0.21484093522422384</c:v>
                </c:pt>
                <c:pt idx="1">
                  <c:v>0.2394664153941376</c:v>
                </c:pt>
                <c:pt idx="2">
                  <c:v>0.26665090602397323</c:v>
                </c:pt>
                <c:pt idx="3">
                  <c:v>0.21670469837926393</c:v>
                </c:pt>
                <c:pt idx="4">
                  <c:v>0.21614376760852322</c:v>
                </c:pt>
                <c:pt idx="5">
                  <c:v>0.22845773698735639</c:v>
                </c:pt>
                <c:pt idx="6">
                  <c:v>0.211867983064288</c:v>
                </c:pt>
                <c:pt idx="7">
                  <c:v>0.21092420845075338</c:v>
                </c:pt>
                <c:pt idx="8">
                  <c:v>0.22414202074587247</c:v>
                </c:pt>
                <c:pt idx="9">
                  <c:v>0.21238094505984456</c:v>
                </c:pt>
                <c:pt idx="10">
                  <c:v>0.20913611278072236</c:v>
                </c:pt>
                <c:pt idx="11">
                  <c:v>0.25881793355694238</c:v>
                </c:pt>
                <c:pt idx="12">
                  <c:v>0.25309640705199732</c:v>
                </c:pt>
              </c:numCache>
            </c:numRef>
          </c:val>
          <c:smooth val="0"/>
          <c:extLst>
            <c:ext xmlns:c16="http://schemas.microsoft.com/office/drawing/2014/chart" uri="{C3380CC4-5D6E-409C-BE32-E72D297353CC}">
              <c16:uniqueId val="{00000000-E17E-4E75-99C1-37939D96197D}"/>
            </c:ext>
          </c:extLst>
        </c:ser>
        <c:ser>
          <c:idx val="1"/>
          <c:order val="1"/>
          <c:tx>
            <c:strRef>
              <c:f>'Profit Margin'!$D$9</c:f>
              <c:strCache>
                <c:ptCount val="1"/>
                <c:pt idx="0">
                  <c:v>AMZN</c:v>
                </c:pt>
              </c:strCache>
            </c:strRef>
          </c:tx>
          <c:spPr>
            <a:ln w="28575" cap="rnd">
              <a:solidFill>
                <a:schemeClr val="accent2"/>
              </a:solidFill>
              <a:round/>
            </a:ln>
            <a:effectLst/>
          </c:spPr>
          <c:marker>
            <c:symbol val="none"/>
          </c:marker>
          <c:cat>
            <c:numRef>
              <c:f>'Profit Margin'!$B$10:$B$22</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'Profit Margin'!$D$10:$D$22</c:f>
              <c:numCache>
                <c:formatCode>0.0%</c:formatCode>
                <c:ptCount val="13"/>
                <c:pt idx="0">
                  <c:v>3.3680271313296692E-2</c:v>
                </c:pt>
                <c:pt idx="1">
                  <c:v>1.3124779000353599E-2</c:v>
                </c:pt>
                <c:pt idx="2">
                  <c:v>-6.3837100813513828E-4</c:v>
                </c:pt>
                <c:pt idx="3">
                  <c:v>3.6802234997045076E-3</c:v>
                </c:pt>
                <c:pt idx="4">
                  <c:v>-2.7082303231896437E-3</c:v>
                </c:pt>
                <c:pt idx="5">
                  <c:v>5.5697811337681999E-3</c:v>
                </c:pt>
                <c:pt idx="6">
                  <c:v>1.7435490157147373E-2</c:v>
                </c:pt>
                <c:pt idx="7">
                  <c:v>1.7052162864178651E-2</c:v>
                </c:pt>
                <c:pt idx="8">
                  <c:v>4.3252736305590261E-2</c:v>
                </c:pt>
                <c:pt idx="9">
                  <c:v>4.1308703060722513E-2</c:v>
                </c:pt>
                <c:pt idx="10">
                  <c:v>5.5252496995316841E-2</c:v>
                </c:pt>
                <c:pt idx="11">
                  <c:v>7.1014128755145567E-2</c:v>
                </c:pt>
                <c:pt idx="12">
                  <c:v>-5.2958950004183018E-3</c:v>
                </c:pt>
              </c:numCache>
            </c:numRef>
          </c:val>
          <c:smooth val="0"/>
          <c:extLst>
            <c:ext xmlns:c16="http://schemas.microsoft.com/office/drawing/2014/chart" uri="{C3380CC4-5D6E-409C-BE32-E72D297353CC}">
              <c16:uniqueId val="{00000001-E17E-4E75-99C1-37939D96197D}"/>
            </c:ext>
          </c:extLst>
        </c:ser>
        <c:ser>
          <c:idx val="2"/>
          <c:order val="2"/>
          <c:tx>
            <c:strRef>
              <c:f>'Profit Margin'!$E$9</c:f>
              <c:strCache>
                <c:ptCount val="1"/>
                <c:pt idx="0">
                  <c:v>GOOG</c:v>
                </c:pt>
              </c:strCache>
            </c:strRef>
          </c:tx>
          <c:spPr>
            <a:ln w="28575" cap="rnd">
              <a:solidFill>
                <a:schemeClr val="accent3"/>
              </a:solidFill>
              <a:round/>
            </a:ln>
            <a:effectLst/>
          </c:spPr>
          <c:marker>
            <c:symbol val="none"/>
          </c:marker>
          <c:cat>
            <c:numRef>
              <c:f>'Profit Margin'!$B$10:$B$22</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'Profit Margin'!$E$10:$E$22</c:f>
              <c:numCache>
                <c:formatCode>0.0%</c:formatCode>
                <c:ptCount val="13"/>
                <c:pt idx="0">
                  <c:v>0.29006514102520375</c:v>
                </c:pt>
                <c:pt idx="1">
                  <c:v>0.25687903970452447</c:v>
                </c:pt>
                <c:pt idx="2">
                  <c:v>0.23321531744825039</c:v>
                </c:pt>
                <c:pt idx="3">
                  <c:v>0.22934490895008916</c:v>
                </c:pt>
                <c:pt idx="4">
                  <c:v>0.21417857305192345</c:v>
                </c:pt>
                <c:pt idx="5">
                  <c:v>0.21104428649535265</c:v>
                </c:pt>
                <c:pt idx="6">
                  <c:v>0.2157701169797944</c:v>
                </c:pt>
                <c:pt idx="7">
                  <c:v>0.11422128005051645</c:v>
                </c:pt>
                <c:pt idx="8">
                  <c:v>0.22464716157843576</c:v>
                </c:pt>
                <c:pt idx="9">
                  <c:v>0.21218112284300339</c:v>
                </c:pt>
                <c:pt idx="10">
                  <c:v>0.22061941520980458</c:v>
                </c:pt>
                <c:pt idx="11">
                  <c:v>0.29511677282377918</c:v>
                </c:pt>
                <c:pt idx="12">
                  <c:v>0.21203807153261961</c:v>
                </c:pt>
              </c:numCache>
            </c:numRef>
          </c:val>
          <c:smooth val="0"/>
          <c:extLst>
            <c:ext xmlns:c16="http://schemas.microsoft.com/office/drawing/2014/chart" uri="{C3380CC4-5D6E-409C-BE32-E72D297353CC}">
              <c16:uniqueId val="{00000002-E17E-4E75-99C1-37939D96197D}"/>
            </c:ext>
          </c:extLst>
        </c:ser>
        <c:ser>
          <c:idx val="3"/>
          <c:order val="3"/>
          <c:tx>
            <c:strRef>
              <c:f>'Profit Margin'!$F$9</c:f>
              <c:strCache>
                <c:ptCount val="1"/>
                <c:pt idx="0">
                  <c:v>MSFT</c:v>
                </c:pt>
              </c:strCache>
            </c:strRef>
          </c:tx>
          <c:spPr>
            <a:ln w="28575" cap="rnd">
              <a:solidFill>
                <a:schemeClr val="accent4"/>
              </a:solidFill>
              <a:round/>
            </a:ln>
            <a:effectLst/>
          </c:spPr>
          <c:marker>
            <c:symbol val="none"/>
          </c:marker>
          <c:cat>
            <c:numRef>
              <c:f>'Profit Margin'!$B$10:$B$22</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'Profit Margin'!$F$10:$F$22</c:f>
              <c:numCache>
                <c:formatCode>0.0%</c:formatCode>
                <c:ptCount val="13"/>
                <c:pt idx="0">
                  <c:v>0.30023686063632288</c:v>
                </c:pt>
                <c:pt idx="1">
                  <c:v>0.3309838010951775</c:v>
                </c:pt>
                <c:pt idx="2">
                  <c:v>0.23029448069123612</c:v>
                </c:pt>
                <c:pt idx="3">
                  <c:v>0.28083854641678119</c:v>
                </c:pt>
                <c:pt idx="4">
                  <c:v>0.25421210829983992</c:v>
                </c:pt>
                <c:pt idx="5">
                  <c:v>0.13029493481513144</c:v>
                </c:pt>
                <c:pt idx="6">
                  <c:v>0.22532198257893235</c:v>
                </c:pt>
                <c:pt idx="7">
                  <c:v>0.26394052044609667</c:v>
                </c:pt>
                <c:pt idx="8">
                  <c:v>0.15015404131931859</c:v>
                </c:pt>
                <c:pt idx="9">
                  <c:v>0.31181710544090652</c:v>
                </c:pt>
                <c:pt idx="10">
                  <c:v>0.30962486452470023</c:v>
                </c:pt>
                <c:pt idx="11">
                  <c:v>0.36451739564989766</c:v>
                </c:pt>
                <c:pt idx="12">
                  <c:v>0.36686336813436221</c:v>
                </c:pt>
              </c:numCache>
            </c:numRef>
          </c:val>
          <c:smooth val="0"/>
          <c:extLst>
            <c:ext xmlns:c16="http://schemas.microsoft.com/office/drawing/2014/chart" uri="{C3380CC4-5D6E-409C-BE32-E72D297353CC}">
              <c16:uniqueId val="{00000003-E17E-4E75-99C1-37939D96197D}"/>
            </c:ext>
          </c:extLst>
        </c:ser>
        <c:ser>
          <c:idx val="4"/>
          <c:order val="4"/>
          <c:tx>
            <c:strRef>
              <c:f>'Profit Margin'!$G$9</c:f>
              <c:strCache>
                <c:ptCount val="1"/>
                <c:pt idx="0">
                  <c:v>NVDA</c:v>
                </c:pt>
              </c:strCache>
            </c:strRef>
          </c:tx>
          <c:spPr>
            <a:ln w="28575" cap="rnd">
              <a:solidFill>
                <a:schemeClr val="accent5"/>
              </a:solidFill>
              <a:round/>
            </a:ln>
            <a:effectLst/>
          </c:spPr>
          <c:marker>
            <c:symbol val="none"/>
          </c:marker>
          <c:cat>
            <c:numRef>
              <c:f>'Profit Margin'!$B$10:$B$22</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'Profit Margin'!$G$10:$G$22</c:f>
              <c:numCache>
                <c:formatCode>0.0%</c:formatCode>
                <c:ptCount val="13"/>
                <c:pt idx="0">
                  <c:v>-2.0438335820974041E-2</c:v>
                </c:pt>
                <c:pt idx="1">
                  <c:v>7.1443388087237089E-2</c:v>
                </c:pt>
                <c:pt idx="2">
                  <c:v>0.14534771744377717</c:v>
                </c:pt>
                <c:pt idx="3">
                  <c:v>0.13142876234270737</c:v>
                </c:pt>
                <c:pt idx="4">
                  <c:v>0.10653753026634383</c:v>
                </c:pt>
                <c:pt idx="5">
                  <c:v>0.13477146518581803</c:v>
                </c:pt>
                <c:pt idx="6">
                  <c:v>0.12255489021956088</c:v>
                </c:pt>
                <c:pt idx="7">
                  <c:v>0.24109985528219971</c:v>
                </c:pt>
                <c:pt idx="8">
                  <c:v>0.3136709903232448</c:v>
                </c:pt>
                <c:pt idx="9">
                  <c:v>0.35344827586206895</c:v>
                </c:pt>
                <c:pt idx="10">
                  <c:v>0.25609085913170909</c:v>
                </c:pt>
                <c:pt idx="11">
                  <c:v>0.25979010494752625</c:v>
                </c:pt>
                <c:pt idx="12">
                  <c:v>0.36233930296499961</c:v>
                </c:pt>
              </c:numCache>
            </c:numRef>
          </c:val>
          <c:smooth val="0"/>
          <c:extLst>
            <c:ext xmlns:c16="http://schemas.microsoft.com/office/drawing/2014/chart" uri="{C3380CC4-5D6E-409C-BE32-E72D297353CC}">
              <c16:uniqueId val="{00000004-E17E-4E75-99C1-37939D96197D}"/>
            </c:ext>
          </c:extLst>
        </c:ser>
        <c:dLbls>
          <c:showLegendKey val="0"/>
          <c:showVal val="0"/>
          <c:showCatName val="0"/>
          <c:showSerName val="0"/>
          <c:showPercent val="0"/>
          <c:showBubbleSize val="0"/>
        </c:dLbls>
        <c:smooth val="0"/>
        <c:axId val="2053406463"/>
        <c:axId val="2053399807"/>
      </c:lineChart>
      <c:catAx>
        <c:axId val="2053406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3399807"/>
        <c:crosses val="autoZero"/>
        <c:auto val="1"/>
        <c:lblAlgn val="ctr"/>
        <c:lblOffset val="100"/>
        <c:noMultiLvlLbl val="0"/>
      </c:catAx>
      <c:valAx>
        <c:axId val="20533998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Profit</a:t>
                </a:r>
                <a:r>
                  <a:rPr lang="en-US" b="1" baseline="0"/>
                  <a:t> Margin (%)</a:t>
                </a:r>
                <a:endParaRPr lang="en-US" b="1"/>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3406463"/>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587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EBITDA Margin by Company (2010–2022</a:t>
            </a:r>
            <a:r>
              <a:rPr lang="en-US" sz="1400" b="0" i="0" u="none" strike="noStrike" baseline="0"/>
              <a: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'EBITDA Margin'!$C$10</c:f>
              <c:strCache>
                <c:ptCount val="1"/>
                <c:pt idx="0">
                  <c:v>AAPL</c:v>
                </c:pt>
              </c:strCache>
            </c:strRef>
          </c:tx>
          <c:spPr>
            <a:ln w="28575" cap="rnd">
              <a:solidFill>
                <a:schemeClr val="accent1"/>
              </a:solidFill>
              <a:round/>
            </a:ln>
            <a:effectLst/>
          </c:spPr>
          <c:marker>
            <c:symbol val="none"/>
          </c:marker>
          <c:cat>
            <c:numRef>
              <c:f>'EBITDA Margin'!$B$11:$B$23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'EBITDA Margin'!$C$11:$C$23</c:f>
              <c:numCache>
                <c:formatCode>0.0%</c:formatCode>
                <c:ptCount val="13"/>
                <c:pt idx="0">
                  <c:v>0.29761594480643927</c:v>
                </c:pt>
                <c:pt idx="1">
                  <c:v>0.3289083501926115</c:v>
                </c:pt>
                <c:pt idx="2">
                  <c:v>0.37389781991974852</c:v>
                </c:pt>
                <c:pt idx="3">
                  <c:v>0.32623017962670409</c:v>
                </c:pt>
                <c:pt idx="4">
                  <c:v>0.3306928526491425</c:v>
                </c:pt>
                <c:pt idx="5">
                  <c:v>0.35293840788995146</c:v>
                </c:pt>
                <c:pt idx="6">
                  <c:v>0.32706977865784947</c:v>
                </c:pt>
                <c:pt idx="7">
                  <c:v>0.31191271800867237</c:v>
                </c:pt>
                <c:pt idx="8">
                  <c:v>0.30799149080366722</c:v>
                </c:pt>
                <c:pt idx="9">
                  <c:v>0.29394559025882677</c:v>
                </c:pt>
                <c:pt idx="10">
                  <c:v>0.2817478097736007</c:v>
                </c:pt>
                <c:pt idx="11">
                  <c:v>0.32866979938056462</c:v>
                </c:pt>
                <c:pt idx="12">
                  <c:v>0.3310467428130896</c:v>
                </c:pt>
              </c:numCache>
            </c:numRef>
          </c:val>
          <c:smooth val="0"/>
          <c:extLst>
            <c:ext xmlns:c16="http://schemas.microsoft.com/office/drawing/2014/chart" uri="{C3380CC4-5D6E-409C-BE32-E72D297353CC}">
              <c16:uniqueId val="{00000000-EB78-4A7B-B792-9B0AEE94367D}"/>
            </c:ext>
          </c:extLst>
        </c:ser>
        <c:ser>
          <c:idx val="1"/>
          <c:order val="1"/>
          <c:tx>
            <c:strRef>
              <c:f>'EBITDA Margin'!$D$10</c:f>
              <c:strCache>
                <c:ptCount val="1"/>
                <c:pt idx="0">
                  <c:v>AMZN</c:v>
                </c:pt>
              </c:strCache>
            </c:strRef>
          </c:tx>
          <c:spPr>
            <a:ln w="28575" cap="rnd">
              <a:solidFill>
                <a:schemeClr val="accent2"/>
              </a:solidFill>
              <a:round/>
            </a:ln>
            <a:effectLst/>
          </c:spPr>
          <c:marker>
            <c:symbol val="none"/>
          </c:marker>
          <c:cat>
            <c:numRef>
              <c:f>'EBITDA Margin'!$B$11:$B$23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'EBITDA Margin'!$D$11:$D$23</c:f>
              <c:numCache>
                <c:formatCode>0.0%</c:formatCode>
                <c:ptCount val="13"/>
                <c:pt idx="0">
                  <c:v>5.7712548239971934E-2</c:v>
                </c:pt>
                <c:pt idx="1">
                  <c:v>4.0455935270503569E-2</c:v>
                </c:pt>
                <c:pt idx="2">
                  <c:v>4.6404661745208124E-2</c:v>
                </c:pt>
                <c:pt idx="3">
                  <c:v>5.3699027561381833E-2</c:v>
                </c:pt>
                <c:pt idx="4">
                  <c:v>5.5333303366746078E-2</c:v>
                </c:pt>
                <c:pt idx="5">
                  <c:v>7.9565631833728945E-2</c:v>
                </c:pt>
                <c:pt idx="6">
                  <c:v>9.0464529697691698E-2</c:v>
                </c:pt>
                <c:pt idx="7">
                  <c:v>8.7616520301800227E-2</c:v>
                </c:pt>
                <c:pt idx="8">
                  <c:v>0.11920802792770743</c:v>
                </c:pt>
                <c:pt idx="9">
                  <c:v>0.12950855904349748</c:v>
                </c:pt>
                <c:pt idx="10">
                  <c:v>0.12453634630527581</c:v>
                </c:pt>
                <c:pt idx="11">
                  <c:v>0.12624355607017126</c:v>
                </c:pt>
                <c:pt idx="12">
                  <c:v>0.10539064521589235</c:v>
                </c:pt>
              </c:numCache>
            </c:numRef>
          </c:val>
          <c:smooth val="0"/>
          <c:extLst>
            <c:ext xmlns:c16="http://schemas.microsoft.com/office/drawing/2014/chart" uri="{C3380CC4-5D6E-409C-BE32-E72D297353CC}">
              <c16:uniqueId val="{00000001-EB78-4A7B-B792-9B0AEE94367D}"/>
            </c:ext>
          </c:extLst>
        </c:ser>
        <c:ser>
          <c:idx val="2"/>
          <c:order val="2"/>
          <c:tx>
            <c:strRef>
              <c:f>'EBITDA Margin'!$E$10</c:f>
              <c:strCache>
                <c:ptCount val="1"/>
                <c:pt idx="0">
                  <c:v>GOOG</c:v>
                </c:pt>
              </c:strCache>
            </c:strRef>
          </c:tx>
          <c:spPr>
            <a:ln w="28575" cap="rnd">
              <a:solidFill>
                <a:schemeClr val="accent3"/>
              </a:solidFill>
              <a:round/>
            </a:ln>
            <a:effectLst/>
          </c:spPr>
          <c:marker>
            <c:symbol val="none"/>
          </c:marker>
          <c:cat>
            <c:numRef>
              <c:f>'EBITDA Margin'!$B$11:$B$23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'EBITDA Margin'!$E$11:$E$23</c:f>
              <c:numCache>
                <c:formatCode>0.0%</c:formatCode>
                <c:ptCount val="13"/>
                <c:pt idx="0">
                  <c:v>0.4016575150915726</c:v>
                </c:pt>
                <c:pt idx="1">
                  <c:v>0.3586070439256035</c:v>
                </c:pt>
                <c:pt idx="2">
                  <c:v>0.36482112991159671</c:v>
                </c:pt>
                <c:pt idx="3">
                  <c:v>0.34838523748626599</c:v>
                </c:pt>
                <c:pt idx="4">
                  <c:v>0.32537385797184892</c:v>
                </c:pt>
                <c:pt idx="5">
                  <c:v>0.32568776753923911</c:v>
                </c:pt>
                <c:pt idx="6">
                  <c:v>0.33077809287486709</c:v>
                </c:pt>
                <c:pt idx="7">
                  <c:v>0.29852510035632129</c:v>
                </c:pt>
                <c:pt idx="8">
                  <c:v>0.26720703995790057</c:v>
                </c:pt>
                <c:pt idx="9">
                  <c:v>0.28427562601555695</c:v>
                </c:pt>
                <c:pt idx="10">
                  <c:v>0.30089247070296449</c:v>
                </c:pt>
                <c:pt idx="11">
                  <c:v>0.35381175840426649</c:v>
                </c:pt>
                <c:pt idx="12">
                  <c:v>0.32092802896378114</c:v>
                </c:pt>
              </c:numCache>
            </c:numRef>
          </c:val>
          <c:smooth val="0"/>
          <c:extLst>
            <c:ext xmlns:c16="http://schemas.microsoft.com/office/drawing/2014/chart" uri="{C3380CC4-5D6E-409C-BE32-E72D297353CC}">
              <c16:uniqueId val="{00000002-EB78-4A7B-B792-9B0AEE94367D}"/>
            </c:ext>
          </c:extLst>
        </c:ser>
        <c:ser>
          <c:idx val="3"/>
          <c:order val="3"/>
          <c:tx>
            <c:strRef>
              <c:f>'EBITDA Margin'!$F$10</c:f>
              <c:strCache>
                <c:ptCount val="1"/>
                <c:pt idx="0">
                  <c:v>MSFT</c:v>
                </c:pt>
              </c:strCache>
            </c:strRef>
          </c:tx>
          <c:spPr>
            <a:ln w="28575" cap="rnd">
              <a:solidFill>
                <a:schemeClr val="accent4"/>
              </a:solidFill>
              <a:round/>
            </a:ln>
            <a:effectLst/>
          </c:spPr>
          <c:marker>
            <c:symbol val="none"/>
          </c:marker>
          <c:cat>
            <c:numRef>
              <c:f>'EBITDA Margin'!$B$11:$B$23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'EBITDA Margin'!$F$11:$F$23</c:f>
              <c:numCache>
                <c:formatCode>0.0%</c:formatCode>
                <c:ptCount val="13"/>
                <c:pt idx="0">
                  <c:v>0.4284456820946162</c:v>
                </c:pt>
                <c:pt idx="1">
                  <c:v>0.42787698554537268</c:v>
                </c:pt>
                <c:pt idx="2">
                  <c:v>0.41944847605224966</c:v>
                </c:pt>
                <c:pt idx="3">
                  <c:v>0.39202815707330857</c:v>
                </c:pt>
                <c:pt idx="4">
                  <c:v>0.37970587219144797</c:v>
                </c:pt>
                <c:pt idx="5">
                  <c:v>0.33784996794186795</c:v>
                </c:pt>
                <c:pt idx="6">
                  <c:v>0.36564495249797047</c:v>
                </c:pt>
                <c:pt idx="7">
                  <c:v>0.39145292064905612</c:v>
                </c:pt>
                <c:pt idx="8">
                  <c:v>0.41064697354113811</c:v>
                </c:pt>
                <c:pt idx="9">
                  <c:v>0.43419975683987189</c:v>
                </c:pt>
                <c:pt idx="10">
                  <c:v>0.45977694647414608</c:v>
                </c:pt>
                <c:pt idx="11">
                  <c:v>0.48547189567369475</c:v>
                </c:pt>
                <c:pt idx="12">
                  <c:v>0.49348363342916224</c:v>
                </c:pt>
              </c:numCache>
            </c:numRef>
          </c:val>
          <c:smooth val="0"/>
          <c:extLst>
            <c:ext xmlns:c16="http://schemas.microsoft.com/office/drawing/2014/chart" uri="{C3380CC4-5D6E-409C-BE32-E72D297353CC}">
              <c16:uniqueId val="{00000003-EB78-4A7B-B792-9B0AEE94367D}"/>
            </c:ext>
          </c:extLst>
        </c:ser>
        <c:ser>
          <c:idx val="4"/>
          <c:order val="4"/>
          <c:tx>
            <c:strRef>
              <c:f>'EBITDA Margin'!$G$10</c:f>
              <c:strCache>
                <c:ptCount val="1"/>
                <c:pt idx="0">
                  <c:v>NVDA</c:v>
                </c:pt>
              </c:strCache>
            </c:strRef>
          </c:tx>
          <c:spPr>
            <a:ln w="28575" cap="rnd">
              <a:solidFill>
                <a:schemeClr val="accent5"/>
              </a:solidFill>
              <a:round/>
            </a:ln>
            <a:effectLst/>
          </c:spPr>
          <c:marker>
            <c:symbol val="none"/>
          </c:marker>
          <c:cat>
            <c:numRef>
              <c:f>'EBITDA Margin'!$B$11:$B$23</c:f>
              <c:numCache>
                <c:formatCode>General</c:formatCode>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numCache>
            </c:numRef>
          </c:cat>
          <c:val>
            <c:numRef>
              <c:f>'EBITDA Margin'!$G$11:$G$23</c:f>
              <c:numCache>
                <c:formatCode>0.0%</c:formatCode>
                <c:ptCount val="13"/>
                <c:pt idx="0">
                  <c:v>2.9376376281585896E-2</c:v>
                </c:pt>
                <c:pt idx="1">
                  <c:v>0.12494989852705479</c:v>
                </c:pt>
                <c:pt idx="2">
                  <c:v>0.21323629978513881</c:v>
                </c:pt>
                <c:pt idx="3">
                  <c:v>0.20430881189226852</c:v>
                </c:pt>
                <c:pt idx="4">
                  <c:v>0.1791767554479419</c:v>
                </c:pt>
                <c:pt idx="5">
                  <c:v>0.2150790260572405</c:v>
                </c:pt>
                <c:pt idx="6">
                  <c:v>0.19421157684630738</c:v>
                </c:pt>
                <c:pt idx="7">
                  <c:v>0.3069464544138929</c:v>
                </c:pt>
                <c:pt idx="8">
                  <c:v>0.35093679225859586</c:v>
                </c:pt>
                <c:pt idx="9">
                  <c:v>0.34704677364288156</c:v>
                </c:pt>
                <c:pt idx="10">
                  <c:v>0.29556695365451546</c:v>
                </c:pt>
                <c:pt idx="11">
                  <c:v>0.3376311844077961</c:v>
                </c:pt>
                <c:pt idx="12">
                  <c:v>0.41669762948651262</c:v>
                </c:pt>
              </c:numCache>
            </c:numRef>
          </c:val>
          <c:smooth val="0"/>
          <c:extLst>
            <c:ext xmlns:c16="http://schemas.microsoft.com/office/drawing/2014/chart" uri="{C3380CC4-5D6E-409C-BE32-E72D297353CC}">
              <c16:uniqueId val="{00000004-EB78-4A7B-B792-9B0AEE94367D}"/>
            </c:ext>
          </c:extLst>
        </c:ser>
        <c:dLbls>
          <c:showLegendKey val="0"/>
          <c:showVal val="0"/>
          <c:showCatName val="0"/>
          <c:showSerName val="0"/>
          <c:showPercent val="0"/>
          <c:showBubbleSize val="0"/>
        </c:dLbls>
        <c:smooth val="0"/>
        <c:axId val="1687318015"/>
        <c:axId val="1687322175"/>
      </c:lineChart>
      <c:catAx>
        <c:axId val="1687318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322175"/>
        <c:crosses val="autoZero"/>
        <c:auto val="1"/>
        <c:lblAlgn val="ctr"/>
        <c:lblOffset val="100"/>
        <c:noMultiLvlLbl val="0"/>
      </c:catAx>
      <c:valAx>
        <c:axId val="16873221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t>EBITDA Margin (%)</a:t>
                </a:r>
                <a:endParaRPr lang="en-US" b="1"/>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31801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1587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Profit After Tax by Company (2010–2022)</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pivotFmt>
      <c:pivotFmt>
        <c:idx val="6"/>
      </c:pivotFmt>
      <c:pivotFmt>
        <c:idx val="7"/>
      </c:pivotFmt>
      <c:pivotFmt>
        <c:idx val="8"/>
      </c:pivotFmt>
      <c:pivotFmt>
        <c:idx val="9"/>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v>AAPL</c:v>
          </c:tx>
          <c:spPr>
            <a:ln w="28575" cap="rnd">
              <a:solidFill>
                <a:schemeClr val="accent1"/>
              </a:solidFill>
              <a:round/>
            </a:ln>
            <a:effectLst/>
          </c:spPr>
          <c:marker>
            <c:symbol val="none"/>
          </c:marker>
          <c:cat>
            <c:strLit>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Lit>
          </c:cat>
          <c:val>
            <c:numLit>
              <c:formatCode>General</c:formatCode>
              <c:ptCount val="13"/>
              <c:pt idx="0">
                <c:v>10509.75</c:v>
              </c:pt>
              <c:pt idx="1">
                <c:v>19441.5</c:v>
              </c:pt>
              <c:pt idx="2">
                <c:v>31299.75</c:v>
              </c:pt>
              <c:pt idx="3">
                <c:v>27777.75</c:v>
              </c:pt>
              <c:pt idx="4">
                <c:v>29632.5</c:v>
              </c:pt>
              <c:pt idx="5">
                <c:v>40045.5</c:v>
              </c:pt>
              <c:pt idx="6">
                <c:v>34265.25</c:v>
              </c:pt>
              <c:pt idx="7">
                <c:v>36263.25</c:v>
              </c:pt>
              <c:pt idx="8">
                <c:v>44648.25</c:v>
              </c:pt>
              <c:pt idx="9">
                <c:v>41442</c:v>
              </c:pt>
              <c:pt idx="10">
                <c:v>43058.25</c:v>
              </c:pt>
              <c:pt idx="11">
                <c:v>71010</c:v>
              </c:pt>
              <c:pt idx="12">
                <c:v>74852.25</c:v>
              </c:pt>
            </c:numLit>
          </c:val>
          <c:smooth val="0"/>
          <c:extLst>
            <c:ext xmlns:c16="http://schemas.microsoft.com/office/drawing/2014/chart" uri="{C3380CC4-5D6E-409C-BE32-E72D297353CC}">
              <c16:uniqueId val="{00000000-25A9-4A3C-945B-5201506589DD}"/>
            </c:ext>
          </c:extLst>
        </c:ser>
        <c:ser>
          <c:idx val="1"/>
          <c:order val="1"/>
          <c:tx>
            <c:v>AMZN</c:v>
          </c:tx>
          <c:spPr>
            <a:ln w="28575" cap="rnd">
              <a:solidFill>
                <a:schemeClr val="accent2"/>
              </a:solidFill>
              <a:round/>
            </a:ln>
            <a:effectLst/>
          </c:spPr>
          <c:marker>
            <c:symbol val="none"/>
          </c:marker>
          <c:cat>
            <c:strLit>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Lit>
          </c:cat>
          <c:val>
            <c:numLit>
              <c:formatCode>General</c:formatCode>
              <c:ptCount val="13"/>
              <c:pt idx="0">
                <c:v>864</c:v>
              </c:pt>
              <c:pt idx="1">
                <c:v>473.25</c:v>
              </c:pt>
              <c:pt idx="2">
                <c:v>-29.25</c:v>
              </c:pt>
              <c:pt idx="3">
                <c:v>205.5</c:v>
              </c:pt>
              <c:pt idx="4">
                <c:v>-180.75</c:v>
              </c:pt>
              <c:pt idx="5">
                <c:v>447</c:v>
              </c:pt>
              <c:pt idx="6">
                <c:v>1778.25</c:v>
              </c:pt>
              <c:pt idx="7">
                <c:v>2274.75</c:v>
              </c:pt>
              <c:pt idx="8">
                <c:v>7554.75</c:v>
              </c:pt>
              <c:pt idx="9">
                <c:v>8691</c:v>
              </c:pt>
              <c:pt idx="10">
                <c:v>15998.25</c:v>
              </c:pt>
              <c:pt idx="11">
                <c:v>25023</c:v>
              </c:pt>
              <c:pt idx="12">
                <c:v>-2041.5</c:v>
              </c:pt>
            </c:numLit>
          </c:val>
          <c:smooth val="0"/>
          <c:extLst>
            <c:ext xmlns:c16="http://schemas.microsoft.com/office/drawing/2014/chart" uri="{C3380CC4-5D6E-409C-BE32-E72D297353CC}">
              <c16:uniqueId val="{00000001-25A9-4A3C-945B-5201506589DD}"/>
            </c:ext>
          </c:extLst>
        </c:ser>
        <c:ser>
          <c:idx val="2"/>
          <c:order val="2"/>
          <c:tx>
            <c:v>GOOG</c:v>
          </c:tx>
          <c:spPr>
            <a:ln w="28575" cap="rnd">
              <a:solidFill>
                <a:schemeClr val="accent3"/>
              </a:solidFill>
              <a:round/>
            </a:ln>
            <a:effectLst/>
          </c:spPr>
          <c:marker>
            <c:symbol val="none"/>
          </c:marker>
          <c:cat>
            <c:strLit>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Lit>
          </c:cat>
          <c:val>
            <c:numLit>
              <c:formatCode>General</c:formatCode>
              <c:ptCount val="13"/>
              <c:pt idx="0">
                <c:v>6378.75</c:v>
              </c:pt>
              <c:pt idx="1">
                <c:v>7302.75</c:v>
              </c:pt>
              <c:pt idx="2">
                <c:v>8052.75</c:v>
              </c:pt>
              <c:pt idx="3">
                <c:v>9549.75</c:v>
              </c:pt>
              <c:pt idx="4">
                <c:v>10602</c:v>
              </c:pt>
              <c:pt idx="5">
                <c:v>11869.5</c:v>
              </c:pt>
              <c:pt idx="6">
                <c:v>14608.5</c:v>
              </c:pt>
              <c:pt idx="7">
                <c:v>9496.5</c:v>
              </c:pt>
              <c:pt idx="8">
                <c:v>23052</c:v>
              </c:pt>
              <c:pt idx="9">
                <c:v>25757.25</c:v>
              </c:pt>
              <c:pt idx="10">
                <c:v>30201.75</c:v>
              </c:pt>
              <c:pt idx="11">
                <c:v>57024.75</c:v>
              </c:pt>
              <c:pt idx="12">
                <c:v>44979</c:v>
              </c:pt>
            </c:numLit>
          </c:val>
          <c:smooth val="0"/>
          <c:extLst>
            <c:ext xmlns:c16="http://schemas.microsoft.com/office/drawing/2014/chart" uri="{C3380CC4-5D6E-409C-BE32-E72D297353CC}">
              <c16:uniqueId val="{00000002-25A9-4A3C-945B-5201506589DD}"/>
            </c:ext>
          </c:extLst>
        </c:ser>
        <c:ser>
          <c:idx val="3"/>
          <c:order val="3"/>
          <c:tx>
            <c:v>MSFT</c:v>
          </c:tx>
          <c:spPr>
            <a:ln w="28575" cap="rnd">
              <a:solidFill>
                <a:schemeClr val="accent4"/>
              </a:solidFill>
              <a:round/>
            </a:ln>
            <a:effectLst/>
          </c:spPr>
          <c:marker>
            <c:symbol val="none"/>
          </c:marker>
          <c:cat>
            <c:strLit>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Lit>
          </c:cat>
          <c:val>
            <c:numLit>
              <c:formatCode>General</c:formatCode>
              <c:ptCount val="13"/>
              <c:pt idx="0">
                <c:v>14070</c:v>
              </c:pt>
              <c:pt idx="1">
                <c:v>17362.5</c:v>
              </c:pt>
              <c:pt idx="2">
                <c:v>12733.5</c:v>
              </c:pt>
              <c:pt idx="3">
                <c:v>16397.25</c:v>
              </c:pt>
              <c:pt idx="4">
                <c:v>16555.5</c:v>
              </c:pt>
              <c:pt idx="5">
                <c:v>9144.75</c:v>
              </c:pt>
              <c:pt idx="6">
                <c:v>15404.25</c:v>
              </c:pt>
              <c:pt idx="7">
                <c:v>19116.75</c:v>
              </c:pt>
              <c:pt idx="8">
                <c:v>12428.25</c:v>
              </c:pt>
              <c:pt idx="9">
                <c:v>29430</c:v>
              </c:pt>
              <c:pt idx="10">
                <c:v>33210.75</c:v>
              </c:pt>
              <c:pt idx="11">
                <c:v>45953.25</c:v>
              </c:pt>
              <c:pt idx="12">
                <c:v>54553.5</c:v>
              </c:pt>
            </c:numLit>
          </c:val>
          <c:smooth val="0"/>
          <c:extLst>
            <c:ext xmlns:c16="http://schemas.microsoft.com/office/drawing/2014/chart" uri="{C3380CC4-5D6E-409C-BE32-E72D297353CC}">
              <c16:uniqueId val="{00000003-25A9-4A3C-945B-5201506589DD}"/>
            </c:ext>
          </c:extLst>
        </c:ser>
        <c:ser>
          <c:idx val="4"/>
          <c:order val="4"/>
          <c:tx>
            <c:v>NVDA</c:v>
          </c:tx>
          <c:spPr>
            <a:ln w="28575" cap="rnd">
              <a:solidFill>
                <a:schemeClr val="accent5"/>
              </a:solidFill>
              <a:round/>
            </a:ln>
            <a:effectLst/>
          </c:spPr>
          <c:marker>
            <c:symbol val="none"/>
          </c:marker>
          <c:cat>
            <c:strLit>
              <c:ptCount val="13"/>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strLit>
          </c:cat>
          <c:val>
            <c:numLit>
              <c:formatCode>General</c:formatCode>
              <c:ptCount val="13"/>
              <c:pt idx="0">
                <c:v>-50.310379999999995</c:v>
              </c:pt>
              <c:pt idx="1">
                <c:v>187.32803999999999</c:v>
              </c:pt>
              <c:pt idx="2">
                <c:v>430.00660000000005</c:v>
              </c:pt>
              <c:pt idx="3">
                <c:v>416.27663999999993</c:v>
              </c:pt>
              <c:pt idx="4">
                <c:v>325.60000000000002</c:v>
              </c:pt>
              <c:pt idx="5">
                <c:v>466.94</c:v>
              </c:pt>
              <c:pt idx="6">
                <c:v>454.36</c:v>
              </c:pt>
              <c:pt idx="7">
                <c:v>1232.8399999999999</c:v>
              </c:pt>
              <c:pt idx="8">
                <c:v>2254.7799999999997</c:v>
              </c:pt>
              <c:pt idx="9">
                <c:v>3064.34</c:v>
              </c:pt>
              <c:pt idx="10">
                <c:v>2069.04</c:v>
              </c:pt>
              <c:pt idx="11">
                <c:v>3205.6800000000003</c:v>
              </c:pt>
              <c:pt idx="12">
                <c:v>7216.48</c:v>
              </c:pt>
            </c:numLit>
          </c:val>
          <c:smooth val="0"/>
          <c:extLst>
            <c:ext xmlns:c16="http://schemas.microsoft.com/office/drawing/2014/chart" uri="{C3380CC4-5D6E-409C-BE32-E72D297353CC}">
              <c16:uniqueId val="{00000004-25A9-4A3C-945B-5201506589DD}"/>
            </c:ext>
          </c:extLst>
        </c:ser>
        <c:dLbls>
          <c:showLegendKey val="0"/>
          <c:showVal val="0"/>
          <c:showCatName val="0"/>
          <c:showSerName val="0"/>
          <c:showPercent val="0"/>
          <c:showBubbleSize val="0"/>
        </c:dLbls>
        <c:smooth val="0"/>
        <c:axId val="329678768"/>
        <c:axId val="329679184"/>
      </c:lineChart>
      <c:catAx>
        <c:axId val="329678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Year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679184"/>
        <c:crosses val="autoZero"/>
        <c:auto val="1"/>
        <c:lblAlgn val="ctr"/>
        <c:lblOffset val="100"/>
        <c:noMultiLvlLbl val="0"/>
      </c:catAx>
      <c:valAx>
        <c:axId val="329679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Profit After Tax ($B)</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67876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587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228723</xdr:colOff>
      <xdr:row>0</xdr:row>
      <xdr:rowOff>167615</xdr:rowOff>
    </xdr:from>
    <xdr:to>
      <xdr:col>21</xdr:col>
      <xdr:colOff>19050</xdr:colOff>
      <xdr:row>29</xdr:row>
      <xdr:rowOff>104775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1028700</xdr:colOff>
      <xdr:row>30</xdr:row>
      <xdr:rowOff>145101</xdr:rowOff>
    </xdr:from>
    <xdr:to>
      <xdr:col>21</xdr:col>
      <xdr:colOff>438150</xdr:colOff>
      <xdr:row>36</xdr:row>
      <xdr:rowOff>76200</xdr:rowOff>
    </xdr:to>
    <xdr:sp macro="" textlink="">
      <xdr:nvSpPr>
        <xdr:cNvPr id="6" name="TextBox 5"/>
        <xdr:cNvSpPr txBox="1"/>
      </xdr:nvSpPr>
      <xdr:spPr>
        <a:xfrm>
          <a:off x="6181725" y="5621976"/>
          <a:ext cx="11410950" cy="1016949"/>
        </a:xfrm>
        <a:prstGeom prst="rect">
          <a:avLst/>
        </a:prstGeom>
        <a:solidFill>
          <a:schemeClr val="accent1">
            <a:lumMod val="20000"/>
            <a:lumOff val="80000"/>
          </a:schemeClr>
        </a:solidFill>
        <a:ln>
          <a:solidFill>
            <a:schemeClr val="tx1"/>
          </a:solidFill>
        </a:ln>
        <a:effectLst>
          <a:outerShdw blurRad="50800" dist="38100" dir="5400000" algn="t" rotWithShape="0">
            <a:prstClr val="black">
              <a:alpha val="4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lstStyle/>
        <a:p>
          <a:pPr algn="l"/>
          <a:r>
            <a:rPr lang="en-US" sz="1800" b="1">
              <a:solidFill>
                <a:schemeClr val="tx1"/>
              </a:solidFill>
            </a:rPr>
            <a:t>Revenue growth varies significantly across companies, with NVDA showing the highest volatility and strongest spikes. </a:t>
          </a:r>
        </a:p>
        <a:p>
          <a:pPr algn="l"/>
          <a:r>
            <a:rPr lang="en-US" sz="1800" b="1">
              <a:solidFill>
                <a:schemeClr val="tx1"/>
              </a:solidFill>
            </a:rPr>
            <a:t>AMZN demonstrates relatively stable and moderate growth, while MSFT shows steady but lower growth. </a:t>
          </a:r>
        </a:p>
        <a:p>
          <a:pPr algn="l"/>
          <a:r>
            <a:rPr lang="en-US" sz="1800" b="1">
              <a:solidFill>
                <a:schemeClr val="tx1"/>
              </a:solidFill>
            </a:rPr>
            <a:t>AAPL exhibits strong early growth followed by stabilization over time.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228601</xdr:colOff>
      <xdr:row>30</xdr:row>
      <xdr:rowOff>85725</xdr:rowOff>
    </xdr:from>
    <xdr:to>
      <xdr:col>26</xdr:col>
      <xdr:colOff>28577</xdr:colOff>
      <xdr:row>36</xdr:row>
      <xdr:rowOff>57150</xdr:rowOff>
    </xdr:to>
    <xdr:sp macro="" textlink="">
      <xdr:nvSpPr>
        <xdr:cNvPr id="2" name="TextBox 1"/>
        <xdr:cNvSpPr txBox="1"/>
      </xdr:nvSpPr>
      <xdr:spPr>
        <a:xfrm>
          <a:off x="6829426" y="5562600"/>
          <a:ext cx="10772776" cy="1057275"/>
        </a:xfrm>
        <a:prstGeom prst="rect">
          <a:avLst/>
        </a:prstGeom>
        <a:solidFill>
          <a:schemeClr val="accent1">
            <a:lumMod val="20000"/>
            <a:lumOff val="80000"/>
          </a:schemeClr>
        </a:solidFill>
        <a:ln w="19050" cmpd="sng">
          <a:solidFill>
            <a:schemeClr val="tx1"/>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tx1"/>
              </a:solidFill>
            </a:rPr>
            <a:t>Profit margins vary across companies, with MSFT and NVDA showing strong margin expansion in recent years. </a:t>
          </a:r>
        </a:p>
        <a:p>
          <a:pPr algn="l"/>
          <a:r>
            <a:rPr lang="en-US" sz="1800" b="1">
              <a:solidFill>
                <a:schemeClr val="tx1"/>
              </a:solidFill>
            </a:rPr>
            <a:t>AAPL maintains relatively stable margins, while GOOG shows some variability over time. </a:t>
          </a:r>
        </a:p>
        <a:p>
          <a:pPr algn="l"/>
          <a:r>
            <a:rPr lang="en-US" sz="1800" b="1">
              <a:solidFill>
                <a:schemeClr val="tx1"/>
              </a:solidFill>
            </a:rPr>
            <a:t>AMZN operates with consistently lower margins due to its reinvestment-driven strategy.</a:t>
          </a:r>
        </a:p>
      </xdr:txBody>
    </xdr:sp>
    <xdr:clientData/>
  </xdr:twoCellAnchor>
  <xdr:twoCellAnchor>
    <xdr:from>
      <xdr:col>8</xdr:col>
      <xdr:colOff>285750</xdr:colOff>
      <xdr:row>1</xdr:row>
      <xdr:rowOff>9523</xdr:rowOff>
    </xdr:from>
    <xdr:to>
      <xdr:col>25</xdr:col>
      <xdr:colOff>514350</xdr:colOff>
      <xdr:row>29</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314325</xdr:colOff>
      <xdr:row>1</xdr:row>
      <xdr:rowOff>9525</xdr:rowOff>
    </xdr:from>
    <xdr:to>
      <xdr:col>25</xdr:col>
      <xdr:colOff>428625</xdr:colOff>
      <xdr:row>29</xdr:row>
      <xdr:rowOff>28575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xdr:colOff>
      <xdr:row>30</xdr:row>
      <xdr:rowOff>47625</xdr:rowOff>
    </xdr:from>
    <xdr:to>
      <xdr:col>26</xdr:col>
      <xdr:colOff>114300</xdr:colOff>
      <xdr:row>37</xdr:row>
      <xdr:rowOff>0</xdr:rowOff>
    </xdr:to>
    <xdr:sp macro="" textlink="">
      <xdr:nvSpPr>
        <xdr:cNvPr id="4" name="TextBox 3"/>
        <xdr:cNvSpPr txBox="1"/>
      </xdr:nvSpPr>
      <xdr:spPr>
        <a:xfrm>
          <a:off x="6581775" y="5524500"/>
          <a:ext cx="11068050" cy="1219200"/>
        </a:xfrm>
        <a:prstGeom prst="rect">
          <a:avLst/>
        </a:prstGeom>
        <a:solidFill>
          <a:schemeClr val="accent1">
            <a:lumMod val="20000"/>
            <a:lumOff val="80000"/>
          </a:schemeClr>
        </a:solidFill>
        <a:ln w="19050" cmpd="sng">
          <a:solidFill>
            <a:schemeClr val="tx1"/>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chemeClr val="tx1"/>
              </a:solidFill>
            </a:rPr>
            <a:t>EBITDA margins highlight operating performance before financing and tax effects. </a:t>
          </a:r>
        </a:p>
        <a:p>
          <a:pPr algn="l"/>
          <a:r>
            <a:rPr lang="en-US" sz="1800" b="1">
              <a:solidFill>
                <a:schemeClr val="tx1"/>
              </a:solidFill>
            </a:rPr>
            <a:t>MSFT and NVDA show strong margin expansion over time, while AAPL remains relatively stable and GOOG shows some fluctuations. </a:t>
          </a:r>
        </a:p>
        <a:p>
          <a:pPr algn="l"/>
          <a:r>
            <a:rPr lang="en-US" sz="1800" b="1">
              <a:solidFill>
                <a:schemeClr val="tx1"/>
              </a:solidFill>
            </a:rPr>
            <a:t>AMZN maintains materially lower EBITDA margins, reflecting its operating model and reinvestment intensity.</a:t>
          </a:r>
          <a:r>
            <a:rPr lang="en-US" sz="1100">
              <a:solidFill>
                <a:schemeClr val="tx1"/>
              </a:solidFill>
            </a:rPr>
            <a: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197302</xdr:colOff>
      <xdr:row>0</xdr:row>
      <xdr:rowOff>170086</xdr:rowOff>
    </xdr:from>
    <xdr:to>
      <xdr:col>24</xdr:col>
      <xdr:colOff>522676</xdr:colOff>
      <xdr:row>29</xdr:row>
      <xdr:rowOff>13114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578304</xdr:colOff>
      <xdr:row>29</xdr:row>
      <xdr:rowOff>170090</xdr:rowOff>
    </xdr:from>
    <xdr:to>
      <xdr:col>24</xdr:col>
      <xdr:colOff>209550</xdr:colOff>
      <xdr:row>36</xdr:row>
      <xdr:rowOff>131989</xdr:rowOff>
    </xdr:to>
    <xdr:sp macro="" textlink="">
      <xdr:nvSpPr>
        <xdr:cNvPr id="4" name="TextBox 3"/>
        <xdr:cNvSpPr txBox="1"/>
      </xdr:nvSpPr>
      <xdr:spPr>
        <a:xfrm>
          <a:off x="7512504" y="5465990"/>
          <a:ext cx="9784896" cy="1228724"/>
        </a:xfrm>
        <a:prstGeom prst="rect">
          <a:avLst/>
        </a:prstGeom>
        <a:solidFill>
          <a:schemeClr val="accent1">
            <a:lumMod val="20000"/>
            <a:lumOff val="80000"/>
          </a:schemeClr>
        </a:solidFill>
        <a:ln w="19050" cmpd="sng">
          <a:solidFill>
            <a:schemeClr val="tx1"/>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t>Profit after tax trends show clear differences between companies. AAPL and MSFT demonstrate strong and consistent growth, while GOOG shows steady but slightly volatile performance. NVDA remains relatively low for most of the period, with noticeable growth only in recent years, whereas AMZN shows lower profitability overall and records a loss in 2022.</a:t>
          </a:r>
        </a:p>
      </xdr:txBody>
    </xdr:sp>
    <xdr:clientData/>
  </xdr:twoCellAnchor>
</xdr:wsDr>
</file>

<file path=xl/tables/table1.xml><?xml version="1.0" encoding="utf-8"?>
<table xmlns="http://schemas.openxmlformats.org/spreadsheetml/2006/main" id="2" name="tbl_financials" displayName="tbl_financials" ref="A1:P162" totalsRowShown="0" headerRowDxfId="25" headerRowBorderDxfId="24" tableBorderDxfId="23" totalsRowBorderDxfId="22">
  <autoFilter ref="A1:P162"/>
  <tableColumns count="16">
    <tableColumn id="1" name="Year" dataDxfId="21"/>
    <tableColumn id="2" name="Company " dataDxfId="20"/>
    <tableColumn id="3" name="Industry" dataDxfId="19"/>
    <tableColumn id="4" name="Revenue" dataDxfId="18"/>
    <tableColumn id="5" name="Net Income" dataDxfId="17"/>
    <tableColumn id="6" name="EBITDA" dataDxfId="16"/>
    <tableColumn id="8" name="Tax Rate" dataDxfId="15">
      <calculatedColumnFormula>VLOOKUP(tbl_financials[[#This Row],[Industry]],tbl_tax[[Industry]:[Tax Rate]],2,FALSE)</calculatedColumnFormula>
    </tableColumn>
    <tableColumn id="9" name="Tax Amount" dataDxfId="14">
      <calculatedColumnFormula>tbl_financials[[#This Row],[Net Income]]*tbl_financials[[#This Row],[Tax Rate]]</calculatedColumnFormula>
    </tableColumn>
    <tableColumn id="10" name="Profit After Tax" dataDxfId="13">
      <calculatedColumnFormula>tbl_financials[[#This Row],[Net Income]]-tbl_financials[[#This Row],[Tax Amount]]</calculatedColumnFormula>
    </tableColumn>
    <tableColumn id="7" name="Profit Margin" dataDxfId="12">
      <calculatedColumnFormula>tbl_financials[[#This Row],[Net Income]]/tbl_financials[[#This Row],[Revenue]]</calculatedColumnFormula>
    </tableColumn>
    <tableColumn id="11" name="EBITDA Margin" dataDxfId="11">
      <calculatedColumnFormula>tbl_financials[[#This Row],[EBITDA]]/tbl_financials[[#This Row],[Revenue]]</calculatedColumnFormula>
    </tableColumn>
    <tableColumn id="12" name="Revenue Growth" dataDxfId="10">
      <calculatedColumnFormula>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calculatedColumnFormula>
    </tableColumn>
    <tableColumn id="13" name="Net Income Growth" dataDxfId="9">
      <calculatedColumnFormula>IFERROR((tbl_financials[[#This Row],[Net Income]]-INDEX(tbl_financials[Net Income],MATCH(tbl_financials[[#This Row],[PreviousKey]],tbl_financials[Key],0)))/INDEX(tbl_financials[Net Income],MATCH(tbl_financials[[#This Row],[PreviousKey]],tbl_financials[Key],0)),"")</calculatedColumnFormula>
    </tableColumn>
    <tableColumn id="17" name="Key" dataDxfId="8">
      <calculatedColumnFormula>tbl_financials[[#This Row],[Company ]]&amp;tbl_financials[[#This Row],[Year]]</calculatedColumnFormula>
    </tableColumn>
    <tableColumn id="15" name="PreviousKey" dataDxfId="7">
      <calculatedColumnFormula>tbl_financials[[#This Row],[Company ]]&amp;(tbl_financials[[#This Row],[Year]]-1)</calculatedColumnFormula>
    </tableColumn>
    <tableColumn id="14" name="Data Status" dataDxfId="6">
      <calculatedColumnFormula>TRIM(IF(COUNTIF(tbl_financials[Key],tbl_financials[[#This Row],[PreviousKey]])=0,"No prior year",IF(INDEX(tbl_financials[Net Income],MATCH(tbl_financials[[#This Row],[PreviousKey]],tbl_financials[Key],0))&lt;=0,"Review negative NI base",IF(ABS(tbl_financials[[#This Row],[Net Income Growth]])&gt;1,"Review high NI growth","OK"))))</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3" name="tbl_tax" displayName="tbl_tax" ref="A1:B9" totalsRowShown="0" headerRowDxfId="5" headerRowBorderDxfId="4" tableBorderDxfId="3" totalsRowBorderDxfId="2">
  <autoFilter ref="A1:B9"/>
  <tableColumns count="2">
    <tableColumn id="1" name="Industry" dataDxfId="1"/>
    <tableColumn id="2" name="Tax R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2"/>
  <sheetViews>
    <sheetView workbookViewId="0">
      <selection activeCell="D25" sqref="D25"/>
    </sheetView>
  </sheetViews>
  <sheetFormatPr defaultRowHeight="14.4" x14ac:dyDescent="0.3"/>
  <cols>
    <col min="1" max="1" width="5" bestFit="1" customWidth="1"/>
    <col min="2" max="2" width="9.5546875" bestFit="1" customWidth="1"/>
    <col min="3" max="3" width="12.88671875" bestFit="1" customWidth="1"/>
    <col min="4" max="4" width="19.44140625" bestFit="1" customWidth="1"/>
    <col min="5" max="5" width="9" bestFit="1" customWidth="1"/>
    <col min="6" max="6" width="10.6640625" bestFit="1" customWidth="1"/>
    <col min="7" max="7" width="10.77734375" bestFit="1" customWidth="1"/>
    <col min="8" max="8" width="15.88671875" bestFit="1" customWidth="1"/>
    <col min="9" max="9" width="9" bestFit="1" customWidth="1"/>
    <col min="10" max="10" width="17.77734375" bestFit="1" customWidth="1"/>
    <col min="11" max="11" width="23" bestFit="1" customWidth="1"/>
    <col min="12" max="12" width="22.33203125" bestFit="1" customWidth="1"/>
    <col min="13" max="13" width="30.21875" bestFit="1" customWidth="1"/>
    <col min="14" max="14" width="12.109375" bestFit="1" customWidth="1"/>
    <col min="15" max="15" width="16.109375" bestFit="1" customWidth="1"/>
    <col min="16" max="16" width="9.6640625" bestFit="1" customWidth="1"/>
    <col min="17" max="17" width="8.6640625" bestFit="1" customWidth="1"/>
    <col min="18" max="18" width="9.6640625" bestFit="1" customWidth="1"/>
    <col min="19" max="19" width="15.6640625" bestFit="1" customWidth="1"/>
    <col min="20" max="20" width="22.109375" bestFit="1" customWidth="1"/>
    <col min="21" max="21" width="23" bestFit="1" customWidth="1"/>
    <col min="22" max="22" width="19.88671875" bestFit="1" customWidth="1"/>
    <col min="23" max="23" width="18.21875" bestFit="1" customWidth="1"/>
  </cols>
  <sheetData>
    <row r="1" spans="1:23" x14ac:dyDescent="0.3">
      <c r="A1" s="54" t="s">
        <v>0</v>
      </c>
      <c r="B1" s="54" t="s">
        <v>1</v>
      </c>
      <c r="C1" s="2" t="s">
        <v>2</v>
      </c>
      <c r="D1" s="2" t="s">
        <v>3</v>
      </c>
      <c r="E1" s="54" t="s">
        <v>4</v>
      </c>
      <c r="F1" s="2" t="s">
        <v>5</v>
      </c>
      <c r="G1" s="54" t="s">
        <v>6</v>
      </c>
      <c r="H1" s="2" t="s">
        <v>7</v>
      </c>
      <c r="I1" s="54" t="s">
        <v>8</v>
      </c>
      <c r="J1" s="2" t="s">
        <v>9</v>
      </c>
      <c r="K1" s="2" t="s">
        <v>10</v>
      </c>
      <c r="L1" s="2" t="s">
        <v>11</v>
      </c>
      <c r="M1" s="2" t="s">
        <v>12</v>
      </c>
      <c r="N1" s="2" t="s">
        <v>13</v>
      </c>
      <c r="O1" s="2" t="s">
        <v>14</v>
      </c>
      <c r="P1" s="2" t="s">
        <v>15</v>
      </c>
      <c r="Q1" s="2" t="s">
        <v>16</v>
      </c>
      <c r="R1" s="2" t="s">
        <v>17</v>
      </c>
      <c r="S1" s="54" t="s">
        <v>18</v>
      </c>
      <c r="T1" s="2" t="s">
        <v>19</v>
      </c>
      <c r="U1" s="2" t="s">
        <v>20</v>
      </c>
      <c r="V1" s="2" t="s">
        <v>21</v>
      </c>
      <c r="W1" s="2" t="s">
        <v>22</v>
      </c>
    </row>
    <row r="2" spans="1:23" x14ac:dyDescent="0.3">
      <c r="A2">
        <v>2022</v>
      </c>
      <c r="B2" t="s">
        <v>23</v>
      </c>
      <c r="C2" t="s">
        <v>24</v>
      </c>
      <c r="D2">
        <v>2066.94</v>
      </c>
      <c r="E2">
        <v>394328</v>
      </c>
      <c r="F2">
        <v>170782</v>
      </c>
      <c r="G2">
        <v>99803</v>
      </c>
      <c r="H2">
        <v>6.11</v>
      </c>
      <c r="I2">
        <v>130541</v>
      </c>
      <c r="J2">
        <v>50672</v>
      </c>
      <c r="K2">
        <v>122151</v>
      </c>
      <c r="L2">
        <v>-22354</v>
      </c>
      <c r="M2">
        <v>-110749</v>
      </c>
      <c r="N2">
        <v>0.87939999999999996</v>
      </c>
      <c r="O2">
        <v>2.3694999999999999</v>
      </c>
      <c r="P2">
        <v>196.9589</v>
      </c>
      <c r="Q2">
        <v>28.292400000000001</v>
      </c>
      <c r="R2">
        <v>66.699399999999997</v>
      </c>
      <c r="S2">
        <v>25.3096</v>
      </c>
      <c r="T2">
        <v>1.3146</v>
      </c>
      <c r="U2">
        <v>196.9589</v>
      </c>
      <c r="V2">
        <v>164000</v>
      </c>
      <c r="W2">
        <v>8.0028000000000006</v>
      </c>
    </row>
    <row r="3" spans="1:23" x14ac:dyDescent="0.3">
      <c r="A3">
        <v>2021</v>
      </c>
      <c r="B3" t="s">
        <v>23</v>
      </c>
      <c r="C3" t="s">
        <v>24</v>
      </c>
      <c r="D3">
        <v>2913.28</v>
      </c>
      <c r="E3">
        <v>365817</v>
      </c>
      <c r="F3">
        <v>152836</v>
      </c>
      <c r="G3">
        <v>94680</v>
      </c>
      <c r="H3">
        <v>5.61</v>
      </c>
      <c r="I3">
        <v>120233</v>
      </c>
      <c r="J3">
        <v>63090</v>
      </c>
      <c r="K3">
        <v>104038</v>
      </c>
      <c r="L3">
        <v>-14545</v>
      </c>
      <c r="M3">
        <v>-93353</v>
      </c>
      <c r="N3">
        <v>1.0746</v>
      </c>
      <c r="O3">
        <v>1.9767999999999999</v>
      </c>
      <c r="P3">
        <v>150.07130000000001</v>
      </c>
      <c r="Q3">
        <v>26.9742</v>
      </c>
      <c r="R3">
        <v>54.983899999999998</v>
      </c>
      <c r="S3">
        <v>25.881799999999998</v>
      </c>
      <c r="T3">
        <v>1.3261000000000001</v>
      </c>
      <c r="U3">
        <v>150.07130000000001</v>
      </c>
      <c r="V3">
        <v>154000</v>
      </c>
      <c r="W3">
        <v>4.6978999999999997</v>
      </c>
    </row>
    <row r="4" spans="1:23" x14ac:dyDescent="0.3">
      <c r="A4">
        <v>2020</v>
      </c>
      <c r="B4" t="s">
        <v>23</v>
      </c>
      <c r="C4" t="s">
        <v>24</v>
      </c>
      <c r="D4">
        <v>2255.9699999999998</v>
      </c>
      <c r="E4">
        <v>274515</v>
      </c>
      <c r="F4">
        <v>104956</v>
      </c>
      <c r="G4">
        <v>57411</v>
      </c>
      <c r="H4">
        <v>3.28</v>
      </c>
      <c r="I4">
        <v>77344</v>
      </c>
      <c r="J4">
        <v>65339</v>
      </c>
      <c r="K4">
        <v>80674</v>
      </c>
      <c r="L4">
        <v>-4289</v>
      </c>
      <c r="M4">
        <v>-86820</v>
      </c>
      <c r="N4">
        <v>1.3635999999999999</v>
      </c>
      <c r="O4">
        <v>1.7208000000000001</v>
      </c>
      <c r="P4">
        <v>87.866399999999999</v>
      </c>
      <c r="Q4">
        <v>17.7256</v>
      </c>
      <c r="R4">
        <v>35.005400000000002</v>
      </c>
      <c r="S4">
        <v>20.913599999999999</v>
      </c>
      <c r="T4">
        <v>1.0183</v>
      </c>
      <c r="U4">
        <v>87.866399999999999</v>
      </c>
      <c r="V4">
        <v>147000</v>
      </c>
      <c r="W4">
        <v>1.2336</v>
      </c>
    </row>
    <row r="5" spans="1:23" x14ac:dyDescent="0.3">
      <c r="A5">
        <v>2019</v>
      </c>
      <c r="B5" t="s">
        <v>23</v>
      </c>
      <c r="C5" t="s">
        <v>24</v>
      </c>
      <c r="D5">
        <v>1304.76</v>
      </c>
      <c r="E5">
        <v>260174</v>
      </c>
      <c r="F5">
        <v>98392</v>
      </c>
      <c r="G5">
        <v>55256</v>
      </c>
      <c r="H5">
        <v>2.97</v>
      </c>
      <c r="I5">
        <v>76477</v>
      </c>
      <c r="J5">
        <v>90488</v>
      </c>
      <c r="K5">
        <v>69391</v>
      </c>
      <c r="L5">
        <v>45896</v>
      </c>
      <c r="M5">
        <v>-90976</v>
      </c>
      <c r="N5">
        <v>1.5401</v>
      </c>
      <c r="O5">
        <v>1.194</v>
      </c>
      <c r="P5">
        <v>61.064500000000002</v>
      </c>
      <c r="Q5">
        <v>16.323</v>
      </c>
      <c r="R5">
        <v>30.311299999999999</v>
      </c>
      <c r="S5">
        <v>21.238099999999999</v>
      </c>
      <c r="T5">
        <v>-3.8800000000000001E-2</v>
      </c>
      <c r="U5">
        <v>61.064500000000002</v>
      </c>
      <c r="V5">
        <v>137000</v>
      </c>
      <c r="W5">
        <v>1.8122</v>
      </c>
    </row>
    <row r="6" spans="1:23" x14ac:dyDescent="0.3">
      <c r="A6">
        <v>2018</v>
      </c>
      <c r="B6" t="s">
        <v>23</v>
      </c>
      <c r="C6" t="s">
        <v>24</v>
      </c>
      <c r="D6">
        <v>748.54</v>
      </c>
      <c r="E6">
        <v>265595</v>
      </c>
      <c r="F6">
        <v>101839</v>
      </c>
      <c r="G6">
        <v>59531</v>
      </c>
      <c r="H6">
        <v>2.98</v>
      </c>
      <c r="I6">
        <v>81801</v>
      </c>
      <c r="J6">
        <v>107147</v>
      </c>
      <c r="K6">
        <v>77434</v>
      </c>
      <c r="L6">
        <v>16066</v>
      </c>
      <c r="M6">
        <v>-87876</v>
      </c>
      <c r="N6">
        <v>1.1329</v>
      </c>
      <c r="O6">
        <v>1.0685</v>
      </c>
      <c r="P6">
        <v>55.560099999999998</v>
      </c>
      <c r="Q6">
        <v>16.2775</v>
      </c>
      <c r="R6">
        <v>29.634799999999998</v>
      </c>
      <c r="S6">
        <v>22.414200000000001</v>
      </c>
      <c r="T6">
        <v>0.74139999999999995</v>
      </c>
      <c r="U6">
        <v>55.560099999999998</v>
      </c>
      <c r="V6">
        <v>132000</v>
      </c>
      <c r="W6">
        <v>2.4426000000000001</v>
      </c>
    </row>
    <row r="7" spans="1:23" x14ac:dyDescent="0.3">
      <c r="A7">
        <v>2017</v>
      </c>
      <c r="B7" t="s">
        <v>23</v>
      </c>
      <c r="C7" t="s">
        <v>24</v>
      </c>
      <c r="D7">
        <v>868.87</v>
      </c>
      <c r="E7">
        <v>229234</v>
      </c>
      <c r="F7">
        <v>88186</v>
      </c>
      <c r="G7">
        <v>48351</v>
      </c>
      <c r="H7">
        <v>2.3025000000000002</v>
      </c>
      <c r="I7">
        <v>71501</v>
      </c>
      <c r="J7">
        <v>134047</v>
      </c>
      <c r="K7">
        <v>64225</v>
      </c>
      <c r="L7">
        <v>-46446</v>
      </c>
      <c r="M7">
        <v>-17974</v>
      </c>
      <c r="N7">
        <v>1.2761</v>
      </c>
      <c r="O7">
        <v>0.86299999999999999</v>
      </c>
      <c r="P7">
        <v>36.0702</v>
      </c>
      <c r="Q7">
        <v>12.8826</v>
      </c>
      <c r="R7">
        <v>20.908200000000001</v>
      </c>
      <c r="S7">
        <v>21.092400000000001</v>
      </c>
      <c r="T7">
        <v>3.3000000000000002E-2</v>
      </c>
      <c r="U7">
        <v>36.0702</v>
      </c>
      <c r="V7">
        <v>123000</v>
      </c>
      <c r="W7">
        <v>2.1301000000000001</v>
      </c>
    </row>
    <row r="8" spans="1:23" x14ac:dyDescent="0.3">
      <c r="A8">
        <v>2016</v>
      </c>
      <c r="B8" t="s">
        <v>23</v>
      </c>
      <c r="C8" t="s">
        <v>24</v>
      </c>
      <c r="D8">
        <v>617.59</v>
      </c>
      <c r="E8">
        <v>215639</v>
      </c>
      <c r="F8">
        <v>84263</v>
      </c>
      <c r="G8">
        <v>45687</v>
      </c>
      <c r="H8">
        <v>2.0775000000000001</v>
      </c>
      <c r="I8">
        <v>70529</v>
      </c>
      <c r="J8">
        <v>128249</v>
      </c>
      <c r="K8">
        <v>66231</v>
      </c>
      <c r="L8">
        <v>-45977</v>
      </c>
      <c r="M8">
        <v>-20890</v>
      </c>
      <c r="N8">
        <v>1.3527</v>
      </c>
      <c r="O8">
        <v>0.67859999999999998</v>
      </c>
      <c r="P8">
        <v>35.623699999999999</v>
      </c>
      <c r="Q8">
        <v>14.202400000000001</v>
      </c>
      <c r="R8">
        <v>22.4312</v>
      </c>
      <c r="S8">
        <v>21.186800000000002</v>
      </c>
      <c r="T8">
        <v>-0.59009999999999996</v>
      </c>
      <c r="U8">
        <v>38.190600000000003</v>
      </c>
      <c r="V8">
        <v>116000</v>
      </c>
      <c r="W8">
        <v>1.2616000000000001</v>
      </c>
    </row>
    <row r="9" spans="1:23" x14ac:dyDescent="0.3">
      <c r="A9">
        <v>2015</v>
      </c>
      <c r="B9" t="s">
        <v>23</v>
      </c>
      <c r="C9" t="s">
        <v>24</v>
      </c>
      <c r="D9">
        <v>586.86</v>
      </c>
      <c r="E9">
        <v>233715</v>
      </c>
      <c r="F9">
        <v>93626</v>
      </c>
      <c r="G9">
        <v>53394</v>
      </c>
      <c r="H9">
        <v>2.3050000000000002</v>
      </c>
      <c r="I9">
        <v>82487</v>
      </c>
      <c r="J9">
        <v>119355</v>
      </c>
      <c r="K9">
        <v>81266</v>
      </c>
      <c r="L9">
        <v>-56274</v>
      </c>
      <c r="M9">
        <v>-17716</v>
      </c>
      <c r="N9">
        <v>1.1088</v>
      </c>
      <c r="O9">
        <v>0.53900000000000003</v>
      </c>
      <c r="P9">
        <v>44.735500000000002</v>
      </c>
      <c r="Q9">
        <v>18.389900000000001</v>
      </c>
      <c r="R9">
        <v>30.920100000000001</v>
      </c>
      <c r="S9">
        <v>22.845800000000001</v>
      </c>
      <c r="T9">
        <v>0.97430000000000005</v>
      </c>
      <c r="U9">
        <v>48.387799999999999</v>
      </c>
      <c r="V9">
        <v>110000</v>
      </c>
      <c r="W9">
        <v>0.1186</v>
      </c>
    </row>
    <row r="10" spans="1:23" x14ac:dyDescent="0.3">
      <c r="A10">
        <v>2014</v>
      </c>
      <c r="B10" t="s">
        <v>23</v>
      </c>
      <c r="C10" t="s">
        <v>24</v>
      </c>
      <c r="D10">
        <v>647.36</v>
      </c>
      <c r="E10">
        <v>182795</v>
      </c>
      <c r="F10">
        <v>70537</v>
      </c>
      <c r="G10">
        <v>39510</v>
      </c>
      <c r="H10">
        <v>1.6125</v>
      </c>
      <c r="I10">
        <v>60449</v>
      </c>
      <c r="J10">
        <v>111547</v>
      </c>
      <c r="K10">
        <v>59713</v>
      </c>
      <c r="L10">
        <v>-22579</v>
      </c>
      <c r="M10">
        <v>-37549</v>
      </c>
      <c r="N10">
        <v>1.0801000000000001</v>
      </c>
      <c r="O10">
        <v>0.31640000000000001</v>
      </c>
      <c r="P10">
        <v>35.420099999999998</v>
      </c>
      <c r="Q10">
        <v>17.042000000000002</v>
      </c>
      <c r="R10">
        <v>28.1142</v>
      </c>
      <c r="S10">
        <v>21.6144</v>
      </c>
      <c r="T10">
        <v>0.30320000000000003</v>
      </c>
      <c r="U10">
        <v>38.438000000000002</v>
      </c>
      <c r="V10">
        <v>97000</v>
      </c>
      <c r="W10">
        <v>1.6222000000000001</v>
      </c>
    </row>
    <row r="11" spans="1:23" x14ac:dyDescent="0.3">
      <c r="A11">
        <v>2013</v>
      </c>
      <c r="B11" t="s">
        <v>23</v>
      </c>
      <c r="C11" t="s">
        <v>24</v>
      </c>
      <c r="D11">
        <v>504.79</v>
      </c>
      <c r="E11">
        <v>170910</v>
      </c>
      <c r="F11">
        <v>64304</v>
      </c>
      <c r="G11">
        <v>37037</v>
      </c>
      <c r="H11">
        <v>1.42</v>
      </c>
      <c r="I11">
        <v>55756</v>
      </c>
      <c r="J11">
        <v>123549</v>
      </c>
      <c r="K11">
        <v>53666</v>
      </c>
      <c r="L11">
        <v>-33774</v>
      </c>
      <c r="M11">
        <v>-16379</v>
      </c>
      <c r="N11">
        <v>1.6786000000000001</v>
      </c>
      <c r="O11">
        <v>0.13730000000000001</v>
      </c>
      <c r="P11">
        <v>29.977599999999999</v>
      </c>
      <c r="Q11">
        <v>17.892299999999999</v>
      </c>
      <c r="R11">
        <v>26.359200000000001</v>
      </c>
      <c r="S11">
        <v>21.670500000000001</v>
      </c>
      <c r="T11">
        <v>0.1363</v>
      </c>
      <c r="U11">
        <v>31.442499999999999</v>
      </c>
      <c r="V11">
        <v>84400</v>
      </c>
      <c r="W11">
        <v>1.4648000000000001</v>
      </c>
    </row>
    <row r="12" spans="1:23" x14ac:dyDescent="0.3">
      <c r="A12">
        <v>2012</v>
      </c>
      <c r="B12" t="s">
        <v>23</v>
      </c>
      <c r="C12" t="s">
        <v>24</v>
      </c>
      <c r="D12">
        <v>500.61</v>
      </c>
      <c r="E12">
        <v>156508</v>
      </c>
      <c r="F12">
        <v>68662</v>
      </c>
      <c r="G12">
        <v>41733</v>
      </c>
      <c r="H12">
        <v>1.5774999999999999</v>
      </c>
      <c r="I12">
        <v>58518</v>
      </c>
      <c r="J12">
        <v>118210</v>
      </c>
      <c r="K12">
        <v>50856</v>
      </c>
      <c r="L12">
        <v>-48227</v>
      </c>
      <c r="M12">
        <v>-1698</v>
      </c>
      <c r="N12">
        <v>1.4958</v>
      </c>
      <c r="O12">
        <v>0</v>
      </c>
      <c r="P12">
        <v>35.304099999999998</v>
      </c>
      <c r="Q12">
        <v>23.703299999999999</v>
      </c>
      <c r="R12">
        <v>35.304099999999998</v>
      </c>
      <c r="S12">
        <v>26.665099999999999</v>
      </c>
      <c r="T12">
        <v>0.33939999999999998</v>
      </c>
      <c r="U12">
        <v>36.980600000000003</v>
      </c>
      <c r="V12">
        <v>76100</v>
      </c>
      <c r="W12">
        <v>2.0693000000000001</v>
      </c>
    </row>
    <row r="13" spans="1:23" x14ac:dyDescent="0.3">
      <c r="A13">
        <v>2011</v>
      </c>
      <c r="B13" t="s">
        <v>23</v>
      </c>
      <c r="C13" t="s">
        <v>24</v>
      </c>
      <c r="D13">
        <v>376.4</v>
      </c>
      <c r="E13">
        <v>108249</v>
      </c>
      <c r="F13">
        <v>43818</v>
      </c>
      <c r="G13">
        <v>25922</v>
      </c>
      <c r="H13">
        <v>0.98860000000000003</v>
      </c>
      <c r="I13">
        <v>35604</v>
      </c>
      <c r="J13">
        <v>76615</v>
      </c>
      <c r="K13">
        <v>37529</v>
      </c>
      <c r="L13">
        <v>-40419</v>
      </c>
      <c r="M13">
        <v>1444</v>
      </c>
      <c r="N13">
        <v>1.6084000000000001</v>
      </c>
      <c r="O13">
        <v>0</v>
      </c>
      <c r="P13">
        <v>33.834099999999999</v>
      </c>
      <c r="Q13">
        <v>22.275300000000001</v>
      </c>
      <c r="R13">
        <v>33.834099999999999</v>
      </c>
      <c r="S13">
        <v>23.9466</v>
      </c>
      <c r="T13">
        <v>0.62780000000000002</v>
      </c>
      <c r="U13">
        <v>35.911499999999997</v>
      </c>
      <c r="V13">
        <v>63300</v>
      </c>
      <c r="W13">
        <v>3.1568000000000001</v>
      </c>
    </row>
    <row r="14" spans="1:23" x14ac:dyDescent="0.3">
      <c r="A14">
        <v>2010</v>
      </c>
      <c r="B14" t="s">
        <v>23</v>
      </c>
      <c r="C14" t="s">
        <v>24</v>
      </c>
      <c r="D14">
        <v>296.89</v>
      </c>
      <c r="E14">
        <v>65225</v>
      </c>
      <c r="F14">
        <v>25684</v>
      </c>
      <c r="G14">
        <v>14013</v>
      </c>
      <c r="H14">
        <v>0.54110000000000003</v>
      </c>
      <c r="I14">
        <v>19412</v>
      </c>
      <c r="J14">
        <v>47791</v>
      </c>
      <c r="K14">
        <v>18595</v>
      </c>
      <c r="L14">
        <v>-13854</v>
      </c>
      <c r="M14">
        <v>1257</v>
      </c>
      <c r="N14">
        <v>2.0112999999999999</v>
      </c>
      <c r="O14">
        <v>0</v>
      </c>
      <c r="P14">
        <v>29.321400000000001</v>
      </c>
      <c r="Q14">
        <v>18.638500000000001</v>
      </c>
      <c r="R14">
        <v>29.321400000000001</v>
      </c>
      <c r="S14">
        <v>21.484100000000002</v>
      </c>
      <c r="T14">
        <v>0.28570000000000001</v>
      </c>
      <c r="U14">
        <v>30.001300000000001</v>
      </c>
      <c r="V14">
        <v>49400</v>
      </c>
      <c r="W14">
        <v>1.64</v>
      </c>
    </row>
    <row r="15" spans="1:23" x14ac:dyDescent="0.3">
      <c r="A15">
        <v>2009</v>
      </c>
      <c r="B15" t="s">
        <v>23</v>
      </c>
      <c r="C15" t="s">
        <v>24</v>
      </c>
      <c r="D15">
        <v>189.8</v>
      </c>
      <c r="E15">
        <v>42905</v>
      </c>
      <c r="F15">
        <v>17222</v>
      </c>
      <c r="G15">
        <v>8235</v>
      </c>
      <c r="H15">
        <v>0.32429999999999998</v>
      </c>
      <c r="I15">
        <v>12474</v>
      </c>
      <c r="J15">
        <v>31640</v>
      </c>
      <c r="K15">
        <v>10159</v>
      </c>
      <c r="L15">
        <v>-17434</v>
      </c>
      <c r="M15">
        <v>663</v>
      </c>
      <c r="N15">
        <v>2.7425000000000002</v>
      </c>
      <c r="O15">
        <v>0</v>
      </c>
      <c r="P15">
        <v>26.027200000000001</v>
      </c>
      <c r="Q15">
        <v>17.336500000000001</v>
      </c>
      <c r="R15">
        <v>26.027200000000001</v>
      </c>
      <c r="S15">
        <v>19.1936</v>
      </c>
      <c r="T15">
        <v>0.35499999999999998</v>
      </c>
      <c r="U15">
        <v>26.405200000000001</v>
      </c>
      <c r="V15">
        <v>36800</v>
      </c>
      <c r="W15">
        <v>-0.35549999999999998</v>
      </c>
    </row>
    <row r="16" spans="1:23" x14ac:dyDescent="0.3">
      <c r="A16">
        <v>2023</v>
      </c>
      <c r="B16" t="s">
        <v>25</v>
      </c>
      <c r="C16" t="s">
        <v>24</v>
      </c>
      <c r="D16">
        <v>2451.23</v>
      </c>
      <c r="E16">
        <v>211915</v>
      </c>
      <c r="F16">
        <v>146052</v>
      </c>
      <c r="G16">
        <v>72361</v>
      </c>
      <c r="H16">
        <v>9.68</v>
      </c>
      <c r="I16">
        <v>102384</v>
      </c>
      <c r="J16">
        <v>206223</v>
      </c>
      <c r="K16">
        <v>87582</v>
      </c>
      <c r="L16">
        <v>-22680</v>
      </c>
      <c r="M16">
        <v>-43935</v>
      </c>
      <c r="N16">
        <v>1.7692000000000001</v>
      </c>
      <c r="O16">
        <v>0.2291</v>
      </c>
      <c r="P16">
        <v>35.088700000000003</v>
      </c>
      <c r="Q16">
        <v>17.564399999999999</v>
      </c>
      <c r="R16">
        <v>29.152799999999999</v>
      </c>
      <c r="S16">
        <v>34.1462</v>
      </c>
      <c r="T16">
        <v>-0.68079999999999996</v>
      </c>
      <c r="U16">
        <v>56.106400000000001</v>
      </c>
      <c r="V16">
        <v>221000</v>
      </c>
      <c r="W16">
        <v>3.7</v>
      </c>
    </row>
    <row r="17" spans="1:23" x14ac:dyDescent="0.3">
      <c r="A17">
        <v>2022</v>
      </c>
      <c r="B17" t="s">
        <v>25</v>
      </c>
      <c r="C17" t="s">
        <v>24</v>
      </c>
      <c r="D17">
        <v>1787.73</v>
      </c>
      <c r="E17">
        <v>198270</v>
      </c>
      <c r="F17">
        <v>135620</v>
      </c>
      <c r="G17">
        <v>72738</v>
      </c>
      <c r="H17">
        <v>9.65</v>
      </c>
      <c r="I17">
        <v>97843</v>
      </c>
      <c r="J17">
        <v>166542</v>
      </c>
      <c r="K17">
        <v>89035</v>
      </c>
      <c r="L17">
        <v>-30311</v>
      </c>
      <c r="M17">
        <v>-58876</v>
      </c>
      <c r="N17">
        <v>1.7846</v>
      </c>
      <c r="O17">
        <v>0.2989</v>
      </c>
      <c r="P17">
        <v>43.6755</v>
      </c>
      <c r="Q17">
        <v>19.937000000000001</v>
      </c>
      <c r="R17">
        <v>34.057499999999997</v>
      </c>
      <c r="S17">
        <v>36.686300000000003</v>
      </c>
      <c r="T17">
        <v>1.2643</v>
      </c>
      <c r="U17">
        <v>82.920699999999997</v>
      </c>
      <c r="V17">
        <v>221000</v>
      </c>
      <c r="W17">
        <v>8.0028000000000006</v>
      </c>
    </row>
    <row r="18" spans="1:23" x14ac:dyDescent="0.3">
      <c r="A18">
        <v>2021</v>
      </c>
      <c r="B18" t="s">
        <v>25</v>
      </c>
      <c r="C18" t="s">
        <v>24</v>
      </c>
      <c r="D18">
        <v>2525.08</v>
      </c>
      <c r="E18">
        <v>168088</v>
      </c>
      <c r="F18">
        <v>115856</v>
      </c>
      <c r="G18">
        <v>61271</v>
      </c>
      <c r="H18">
        <v>8.0500000000000007</v>
      </c>
      <c r="I18">
        <v>81602</v>
      </c>
      <c r="J18">
        <v>141988</v>
      </c>
      <c r="K18">
        <v>76740</v>
      </c>
      <c r="L18">
        <v>-27577</v>
      </c>
      <c r="M18">
        <v>-48486</v>
      </c>
      <c r="N18">
        <v>2.08</v>
      </c>
      <c r="O18">
        <v>0.40949999999999998</v>
      </c>
      <c r="P18">
        <v>43.152200000000001</v>
      </c>
      <c r="Q18">
        <v>18.3568</v>
      </c>
      <c r="R18">
        <v>31.901700000000002</v>
      </c>
      <c r="S18">
        <v>36.451700000000002</v>
      </c>
      <c r="T18">
        <v>1.4886999999999999</v>
      </c>
      <c r="U18">
        <v>72.529799999999994</v>
      </c>
      <c r="V18">
        <v>181000</v>
      </c>
      <c r="W18">
        <v>4.6978999999999997</v>
      </c>
    </row>
    <row r="19" spans="1:23" x14ac:dyDescent="0.3">
      <c r="A19">
        <v>2020</v>
      </c>
      <c r="B19" t="s">
        <v>25</v>
      </c>
      <c r="C19" t="s">
        <v>24</v>
      </c>
      <c r="D19">
        <v>1681.61</v>
      </c>
      <c r="E19">
        <v>143015</v>
      </c>
      <c r="F19">
        <v>96937</v>
      </c>
      <c r="G19">
        <v>44281</v>
      </c>
      <c r="H19">
        <v>5.76</v>
      </c>
      <c r="I19">
        <v>65755</v>
      </c>
      <c r="J19">
        <v>118304</v>
      </c>
      <c r="K19">
        <v>60675</v>
      </c>
      <c r="L19">
        <v>-12223</v>
      </c>
      <c r="M19">
        <v>-46031</v>
      </c>
      <c r="N19">
        <v>2.5158</v>
      </c>
      <c r="O19">
        <v>0.5353</v>
      </c>
      <c r="P19">
        <v>37.4298</v>
      </c>
      <c r="Q19">
        <v>14.696099999999999</v>
      </c>
      <c r="R19">
        <v>24.8935</v>
      </c>
      <c r="S19">
        <v>30.962499999999999</v>
      </c>
      <c r="T19">
        <v>0.9526</v>
      </c>
      <c r="U19">
        <v>65.200599999999994</v>
      </c>
      <c r="V19">
        <v>163000</v>
      </c>
      <c r="W19">
        <v>1.2336</v>
      </c>
    </row>
    <row r="20" spans="1:23" x14ac:dyDescent="0.3">
      <c r="A20">
        <v>2019</v>
      </c>
      <c r="B20" t="s">
        <v>25</v>
      </c>
      <c r="C20" t="s">
        <v>24</v>
      </c>
      <c r="D20">
        <v>1203.06</v>
      </c>
      <c r="E20">
        <v>125843</v>
      </c>
      <c r="F20">
        <v>82933</v>
      </c>
      <c r="G20">
        <v>39240</v>
      </c>
      <c r="H20">
        <v>5.0599999999999996</v>
      </c>
      <c r="I20">
        <v>54641</v>
      </c>
      <c r="J20">
        <v>102330</v>
      </c>
      <c r="K20">
        <v>52185</v>
      </c>
      <c r="L20">
        <v>-15773</v>
      </c>
      <c r="M20">
        <v>-36887</v>
      </c>
      <c r="N20">
        <v>2.5287999999999999</v>
      </c>
      <c r="O20">
        <v>0.70530000000000004</v>
      </c>
      <c r="P20">
        <v>38.346499999999999</v>
      </c>
      <c r="Q20">
        <v>13.6937</v>
      </c>
      <c r="R20">
        <v>23.22</v>
      </c>
      <c r="S20">
        <v>31.181699999999999</v>
      </c>
      <c r="T20">
        <v>0.79679999999999995</v>
      </c>
      <c r="U20">
        <v>74.6661</v>
      </c>
      <c r="V20">
        <v>144000</v>
      </c>
      <c r="W20">
        <v>1.8122</v>
      </c>
    </row>
    <row r="21" spans="1:23" x14ac:dyDescent="0.3">
      <c r="A21">
        <v>2018</v>
      </c>
      <c r="B21" t="s">
        <v>25</v>
      </c>
      <c r="C21" t="s">
        <v>24</v>
      </c>
      <c r="D21">
        <v>779.67</v>
      </c>
      <c r="E21">
        <v>110360</v>
      </c>
      <c r="F21">
        <v>72007</v>
      </c>
      <c r="G21">
        <v>16571</v>
      </c>
      <c r="H21">
        <v>2.13</v>
      </c>
      <c r="I21">
        <v>45319</v>
      </c>
      <c r="J21">
        <v>82718</v>
      </c>
      <c r="K21">
        <v>43884</v>
      </c>
      <c r="L21">
        <v>-6061</v>
      </c>
      <c r="M21">
        <v>-33590</v>
      </c>
      <c r="N21">
        <v>2.9007999999999998</v>
      </c>
      <c r="O21">
        <v>0.92169999999999996</v>
      </c>
      <c r="P21">
        <v>20.033100000000001</v>
      </c>
      <c r="Q21">
        <v>6.4017999999999997</v>
      </c>
      <c r="R21">
        <v>10.6937</v>
      </c>
      <c r="S21">
        <v>15.0154</v>
      </c>
      <c r="T21">
        <v>0.13170000000000001</v>
      </c>
      <c r="U21">
        <v>42.509399999999999</v>
      </c>
      <c r="V21">
        <v>131000</v>
      </c>
      <c r="W21">
        <v>2.4426000000000001</v>
      </c>
    </row>
    <row r="22" spans="1:23" x14ac:dyDescent="0.3">
      <c r="A22">
        <v>2017</v>
      </c>
      <c r="B22" t="s">
        <v>25</v>
      </c>
      <c r="C22" t="s">
        <v>24</v>
      </c>
      <c r="D22">
        <v>659.91</v>
      </c>
      <c r="E22">
        <v>96571</v>
      </c>
      <c r="F22">
        <v>62310</v>
      </c>
      <c r="G22">
        <v>25489</v>
      </c>
      <c r="H22">
        <v>3.25</v>
      </c>
      <c r="I22">
        <v>37803</v>
      </c>
      <c r="J22">
        <v>87711</v>
      </c>
      <c r="K22">
        <v>39507</v>
      </c>
      <c r="L22">
        <v>-46781</v>
      </c>
      <c r="M22">
        <v>8408</v>
      </c>
      <c r="N22">
        <v>2.9186000000000001</v>
      </c>
      <c r="O22">
        <v>0.98270000000000002</v>
      </c>
      <c r="P22">
        <v>29.060199999999998</v>
      </c>
      <c r="Q22">
        <v>10.1829</v>
      </c>
      <c r="R22">
        <v>15.5626</v>
      </c>
      <c r="S22">
        <v>26.394100000000002</v>
      </c>
      <c r="T22">
        <v>0.88870000000000005</v>
      </c>
      <c r="U22">
        <v>59.998100000000001</v>
      </c>
      <c r="V22">
        <v>124000</v>
      </c>
      <c r="W22">
        <v>2.1301000000000001</v>
      </c>
    </row>
    <row r="23" spans="1:23" x14ac:dyDescent="0.3">
      <c r="A23">
        <v>2016</v>
      </c>
      <c r="B23" t="s">
        <v>25</v>
      </c>
      <c r="C23" t="s">
        <v>24</v>
      </c>
      <c r="D23">
        <v>483.16</v>
      </c>
      <c r="E23">
        <v>91154</v>
      </c>
      <c r="F23">
        <v>58374</v>
      </c>
      <c r="G23">
        <v>20539</v>
      </c>
      <c r="H23">
        <v>2.56</v>
      </c>
      <c r="I23">
        <v>33330</v>
      </c>
      <c r="J23">
        <v>71997</v>
      </c>
      <c r="K23">
        <v>33325</v>
      </c>
      <c r="L23">
        <v>-23950</v>
      </c>
      <c r="M23">
        <v>-8393</v>
      </c>
      <c r="N23">
        <v>2.3529</v>
      </c>
      <c r="O23">
        <v>0.74250000000000005</v>
      </c>
      <c r="P23">
        <v>28.5276</v>
      </c>
      <c r="Q23">
        <v>10.616199999999999</v>
      </c>
      <c r="R23">
        <v>18.248100000000001</v>
      </c>
      <c r="S23">
        <v>22.5322</v>
      </c>
      <c r="T23">
        <v>0.24349999999999999</v>
      </c>
      <c r="U23">
        <v>40.758499999999998</v>
      </c>
      <c r="V23">
        <v>114000</v>
      </c>
      <c r="W23">
        <v>1.2616000000000001</v>
      </c>
    </row>
    <row r="24" spans="1:23" x14ac:dyDescent="0.3">
      <c r="A24">
        <v>2015</v>
      </c>
      <c r="B24" t="s">
        <v>25</v>
      </c>
      <c r="C24" t="s">
        <v>24</v>
      </c>
      <c r="D24">
        <v>443.17</v>
      </c>
      <c r="E24">
        <v>93580</v>
      </c>
      <c r="F24">
        <v>60542</v>
      </c>
      <c r="G24">
        <v>12193</v>
      </c>
      <c r="H24">
        <v>1.48</v>
      </c>
      <c r="I24">
        <v>31616</v>
      </c>
      <c r="J24">
        <v>80083</v>
      </c>
      <c r="K24">
        <v>29668</v>
      </c>
      <c r="L24">
        <v>-23001</v>
      </c>
      <c r="M24">
        <v>-9668</v>
      </c>
      <c r="N24">
        <v>2.4733999999999998</v>
      </c>
      <c r="O24">
        <v>0.44069999999999998</v>
      </c>
      <c r="P24">
        <v>15.2255</v>
      </c>
      <c r="Q24">
        <v>6.9885000000000002</v>
      </c>
      <c r="R24">
        <v>11.3012</v>
      </c>
      <c r="S24">
        <v>13.029500000000001</v>
      </c>
      <c r="T24">
        <v>-0.34250000000000003</v>
      </c>
      <c r="U24">
        <v>20.911000000000001</v>
      </c>
      <c r="V24">
        <v>118000</v>
      </c>
      <c r="W24">
        <v>0.1186</v>
      </c>
    </row>
    <row r="25" spans="1:23" x14ac:dyDescent="0.3">
      <c r="A25">
        <v>2014</v>
      </c>
      <c r="B25" t="s">
        <v>25</v>
      </c>
      <c r="C25" t="s">
        <v>24</v>
      </c>
      <c r="D25">
        <v>382.88</v>
      </c>
      <c r="E25">
        <v>86833</v>
      </c>
      <c r="F25">
        <v>59755</v>
      </c>
      <c r="G25">
        <v>22074</v>
      </c>
      <c r="H25">
        <v>2.63</v>
      </c>
      <c r="I25">
        <v>32971</v>
      </c>
      <c r="J25">
        <v>89784</v>
      </c>
      <c r="K25">
        <v>32502</v>
      </c>
      <c r="L25">
        <v>-18833</v>
      </c>
      <c r="M25">
        <v>-8665</v>
      </c>
      <c r="N25">
        <v>2.504</v>
      </c>
      <c r="O25">
        <v>0.25219999999999998</v>
      </c>
      <c r="P25">
        <v>24.585699999999999</v>
      </c>
      <c r="Q25">
        <v>12.805099999999999</v>
      </c>
      <c r="R25">
        <v>19.9893</v>
      </c>
      <c r="S25">
        <v>25.421199999999999</v>
      </c>
      <c r="T25">
        <v>0.31519999999999998</v>
      </c>
      <c r="U25">
        <v>35.219200000000001</v>
      </c>
      <c r="V25">
        <v>128000</v>
      </c>
      <c r="W25">
        <v>1.6222000000000001</v>
      </c>
    </row>
    <row r="26" spans="1:23" x14ac:dyDescent="0.3">
      <c r="A26">
        <v>2013</v>
      </c>
      <c r="B26" t="s">
        <v>25</v>
      </c>
      <c r="C26" t="s">
        <v>24</v>
      </c>
      <c r="D26">
        <v>312.3</v>
      </c>
      <c r="E26">
        <v>77849</v>
      </c>
      <c r="F26">
        <v>57464</v>
      </c>
      <c r="G26">
        <v>21863</v>
      </c>
      <c r="H26">
        <v>2.58</v>
      </c>
      <c r="I26">
        <v>30519</v>
      </c>
      <c r="J26">
        <v>78944</v>
      </c>
      <c r="K26">
        <v>28833</v>
      </c>
      <c r="L26">
        <v>-23811</v>
      </c>
      <c r="M26">
        <v>-8148</v>
      </c>
      <c r="N26">
        <v>2.7118000000000002</v>
      </c>
      <c r="O26">
        <v>0.1976</v>
      </c>
      <c r="P26">
        <v>27.694299999999998</v>
      </c>
      <c r="Q26">
        <v>15.3499</v>
      </c>
      <c r="R26">
        <v>23.882200000000001</v>
      </c>
      <c r="S26">
        <v>28.0839</v>
      </c>
      <c r="T26">
        <v>-0.54559999999999997</v>
      </c>
      <c r="U26">
        <v>35.720399999999998</v>
      </c>
      <c r="V26">
        <v>118000</v>
      </c>
      <c r="W26">
        <v>1.4648000000000001</v>
      </c>
    </row>
    <row r="27" spans="1:23" x14ac:dyDescent="0.3">
      <c r="A27">
        <v>2012</v>
      </c>
      <c r="B27" t="s">
        <v>25</v>
      </c>
      <c r="C27" t="s">
        <v>24</v>
      </c>
      <c r="D27">
        <v>224.8</v>
      </c>
      <c r="E27">
        <v>73723</v>
      </c>
      <c r="F27">
        <v>56193</v>
      </c>
      <c r="G27">
        <v>16978</v>
      </c>
      <c r="H27">
        <v>2</v>
      </c>
      <c r="I27">
        <v>30923</v>
      </c>
      <c r="J27">
        <v>66363</v>
      </c>
      <c r="K27">
        <v>31626</v>
      </c>
      <c r="L27">
        <v>-24786</v>
      </c>
      <c r="M27">
        <v>-9408</v>
      </c>
      <c r="N27">
        <v>2.6029</v>
      </c>
      <c r="O27">
        <v>0.18</v>
      </c>
      <c r="P27">
        <v>25.583500000000001</v>
      </c>
      <c r="Q27">
        <v>14.0001</v>
      </c>
      <c r="R27">
        <v>22.0276</v>
      </c>
      <c r="S27">
        <v>23.029499999999999</v>
      </c>
      <c r="T27">
        <v>0.57979999999999998</v>
      </c>
      <c r="U27">
        <v>34.132800000000003</v>
      </c>
      <c r="V27">
        <v>128000</v>
      </c>
      <c r="W27">
        <v>2.0693000000000001</v>
      </c>
    </row>
    <row r="28" spans="1:23" x14ac:dyDescent="0.3">
      <c r="A28">
        <v>2011</v>
      </c>
      <c r="B28" t="s">
        <v>25</v>
      </c>
      <c r="C28" t="s">
        <v>24</v>
      </c>
      <c r="D28">
        <v>218.38</v>
      </c>
      <c r="E28">
        <v>69943</v>
      </c>
      <c r="F28">
        <v>54366</v>
      </c>
      <c r="G28">
        <v>23150</v>
      </c>
      <c r="H28">
        <v>2.69</v>
      </c>
      <c r="I28">
        <v>29927</v>
      </c>
      <c r="J28">
        <v>57083</v>
      </c>
      <c r="K28">
        <v>26994</v>
      </c>
      <c r="L28">
        <v>-14616</v>
      </c>
      <c r="M28">
        <v>-8376</v>
      </c>
      <c r="N28">
        <v>2.6036999999999999</v>
      </c>
      <c r="O28">
        <v>0.20880000000000001</v>
      </c>
      <c r="P28">
        <v>40.555</v>
      </c>
      <c r="Q28">
        <v>21.296399999999998</v>
      </c>
      <c r="R28">
        <v>33.5488</v>
      </c>
      <c r="S28">
        <v>33.098399999999998</v>
      </c>
      <c r="T28">
        <v>0.3921</v>
      </c>
      <c r="U28">
        <v>52.904600000000002</v>
      </c>
      <c r="V28">
        <v>99000</v>
      </c>
      <c r="W28">
        <v>3.1568000000000001</v>
      </c>
    </row>
    <row r="29" spans="1:23" x14ac:dyDescent="0.3">
      <c r="A29">
        <v>2010</v>
      </c>
      <c r="B29" t="s">
        <v>25</v>
      </c>
      <c r="C29" t="s">
        <v>24</v>
      </c>
      <c r="D29">
        <v>238.78</v>
      </c>
      <c r="E29">
        <v>62484</v>
      </c>
      <c r="F29">
        <v>50089</v>
      </c>
      <c r="G29">
        <v>18760</v>
      </c>
      <c r="H29">
        <v>2.1</v>
      </c>
      <c r="I29">
        <v>26771</v>
      </c>
      <c r="J29">
        <v>46175</v>
      </c>
      <c r="K29">
        <v>24073</v>
      </c>
      <c r="L29">
        <v>-11314</v>
      </c>
      <c r="M29">
        <v>-13291</v>
      </c>
      <c r="N29">
        <v>2.1293000000000002</v>
      </c>
      <c r="O29">
        <v>0.12859999999999999</v>
      </c>
      <c r="P29">
        <v>40.628</v>
      </c>
      <c r="Q29">
        <v>21.785299999999999</v>
      </c>
      <c r="R29">
        <v>36.702300000000001</v>
      </c>
      <c r="S29">
        <v>30.023700000000002</v>
      </c>
      <c r="T29">
        <v>0.70569999999999999</v>
      </c>
      <c r="U29">
        <v>57.505400000000002</v>
      </c>
      <c r="V29">
        <v>94000</v>
      </c>
      <c r="W29">
        <v>1.64</v>
      </c>
    </row>
    <row r="30" spans="1:23" x14ac:dyDescent="0.3">
      <c r="A30">
        <v>2009</v>
      </c>
      <c r="B30" t="s">
        <v>25</v>
      </c>
      <c r="C30" t="s">
        <v>24</v>
      </c>
      <c r="D30">
        <v>270.64</v>
      </c>
      <c r="E30">
        <v>58437</v>
      </c>
      <c r="F30">
        <v>46282</v>
      </c>
      <c r="G30">
        <v>14569</v>
      </c>
      <c r="H30">
        <v>1.62</v>
      </c>
      <c r="I30">
        <v>22925</v>
      </c>
      <c r="J30">
        <v>39558</v>
      </c>
      <c r="K30">
        <v>19037</v>
      </c>
      <c r="L30">
        <v>-15770</v>
      </c>
      <c r="M30">
        <v>-7463</v>
      </c>
      <c r="N30">
        <v>1.8229</v>
      </c>
      <c r="O30">
        <v>0.14530000000000001</v>
      </c>
      <c r="P30">
        <v>36.829500000000003</v>
      </c>
      <c r="Q30">
        <v>18.705100000000002</v>
      </c>
      <c r="R30">
        <v>33.643500000000003</v>
      </c>
      <c r="S30">
        <v>24.931100000000001</v>
      </c>
      <c r="T30">
        <v>1.7695000000000001</v>
      </c>
      <c r="U30">
        <v>57.594099999999997</v>
      </c>
      <c r="V30">
        <v>90000</v>
      </c>
      <c r="W30">
        <v>-0.35549999999999998</v>
      </c>
    </row>
    <row r="31" spans="1:23" x14ac:dyDescent="0.3">
      <c r="A31">
        <v>2022</v>
      </c>
      <c r="B31" t="s">
        <v>26</v>
      </c>
      <c r="C31" t="s">
        <v>24</v>
      </c>
      <c r="D31">
        <v>1144.3499999999999</v>
      </c>
      <c r="E31">
        <v>282836</v>
      </c>
      <c r="F31">
        <v>156633</v>
      </c>
      <c r="G31">
        <v>59972</v>
      </c>
      <c r="H31">
        <v>4.5599999999999996</v>
      </c>
      <c r="I31">
        <v>90770</v>
      </c>
      <c r="J31">
        <v>256144</v>
      </c>
      <c r="K31">
        <v>91495</v>
      </c>
      <c r="L31">
        <v>-20298</v>
      </c>
      <c r="M31">
        <v>-69757</v>
      </c>
      <c r="N31">
        <v>2.3780000000000001</v>
      </c>
      <c r="O31">
        <v>5.74E-2</v>
      </c>
      <c r="P31">
        <v>23.413399999999999</v>
      </c>
      <c r="Q31">
        <v>16.418800000000001</v>
      </c>
      <c r="R31">
        <v>22.142600000000002</v>
      </c>
      <c r="S31">
        <v>21.203800000000001</v>
      </c>
      <c r="T31">
        <v>-0.36130000000000001</v>
      </c>
      <c r="U31">
        <v>26.642399999999999</v>
      </c>
      <c r="V31">
        <v>190234</v>
      </c>
      <c r="W31">
        <v>8.0028000000000006</v>
      </c>
    </row>
    <row r="32" spans="1:23" x14ac:dyDescent="0.3">
      <c r="A32">
        <v>2021</v>
      </c>
      <c r="B32" t="s">
        <v>26</v>
      </c>
      <c r="C32" t="s">
        <v>24</v>
      </c>
      <c r="D32">
        <v>1910.26</v>
      </c>
      <c r="E32">
        <v>257637</v>
      </c>
      <c r="F32">
        <v>146698</v>
      </c>
      <c r="G32">
        <v>76033</v>
      </c>
      <c r="H32">
        <v>5.61</v>
      </c>
      <c r="I32">
        <v>91155</v>
      </c>
      <c r="J32">
        <v>251635</v>
      </c>
      <c r="K32">
        <v>91652</v>
      </c>
      <c r="L32">
        <v>-35523</v>
      </c>
      <c r="M32">
        <v>-61362</v>
      </c>
      <c r="N32">
        <v>2.9281000000000001</v>
      </c>
      <c r="O32">
        <v>5.8900000000000001E-2</v>
      </c>
      <c r="P32">
        <v>30.215599999999998</v>
      </c>
      <c r="Q32">
        <v>21.1633</v>
      </c>
      <c r="R32">
        <v>28.535399999999999</v>
      </c>
      <c r="S32">
        <v>29.511700000000001</v>
      </c>
      <c r="T32">
        <v>1.7122999999999999</v>
      </c>
      <c r="U32">
        <v>33.456099999999999</v>
      </c>
      <c r="V32">
        <v>156500</v>
      </c>
      <c r="W32">
        <v>4.6978999999999997</v>
      </c>
    </row>
    <row r="33" spans="1:23" x14ac:dyDescent="0.3">
      <c r="A33">
        <v>2020</v>
      </c>
      <c r="B33" t="s">
        <v>26</v>
      </c>
      <c r="C33" t="s">
        <v>24</v>
      </c>
      <c r="D33">
        <v>1179.4000000000001</v>
      </c>
      <c r="E33">
        <v>182527</v>
      </c>
      <c r="F33">
        <v>97795</v>
      </c>
      <c r="G33">
        <v>40269</v>
      </c>
      <c r="H33">
        <v>2.93</v>
      </c>
      <c r="I33">
        <v>54921</v>
      </c>
      <c r="J33">
        <v>222544</v>
      </c>
      <c r="K33">
        <v>65124</v>
      </c>
      <c r="L33">
        <v>-32773</v>
      </c>
      <c r="M33">
        <v>-24408</v>
      </c>
      <c r="N33">
        <v>3.0668000000000002</v>
      </c>
      <c r="O33">
        <v>6.2600000000000003E-2</v>
      </c>
      <c r="P33">
        <v>18.094899999999999</v>
      </c>
      <c r="Q33">
        <v>12.5992</v>
      </c>
      <c r="R33">
        <v>17.0288</v>
      </c>
      <c r="S33">
        <v>22.061900000000001</v>
      </c>
      <c r="T33">
        <v>0.84299999999999997</v>
      </c>
      <c r="U33">
        <v>20.142199999999999</v>
      </c>
      <c r="V33">
        <v>135301</v>
      </c>
      <c r="W33">
        <v>1.2336</v>
      </c>
    </row>
    <row r="34" spans="1:23" x14ac:dyDescent="0.3">
      <c r="A34">
        <v>2019</v>
      </c>
      <c r="B34" t="s">
        <v>26</v>
      </c>
      <c r="C34" t="s">
        <v>24</v>
      </c>
      <c r="D34">
        <v>917.82</v>
      </c>
      <c r="E34">
        <v>161857</v>
      </c>
      <c r="F34">
        <v>89961</v>
      </c>
      <c r="G34">
        <v>34343</v>
      </c>
      <c r="H34">
        <v>2.4580000000000002</v>
      </c>
      <c r="I34">
        <v>46012</v>
      </c>
      <c r="J34">
        <v>201442</v>
      </c>
      <c r="K34">
        <v>54520</v>
      </c>
      <c r="L34">
        <v>-29491</v>
      </c>
      <c r="M34">
        <v>-23209</v>
      </c>
      <c r="N34">
        <v>3.3740999999999999</v>
      </c>
      <c r="O34">
        <v>2.2599999999999999E-2</v>
      </c>
      <c r="P34">
        <v>17.0486</v>
      </c>
      <c r="Q34">
        <v>12.4472</v>
      </c>
      <c r="R34">
        <v>16.671700000000001</v>
      </c>
      <c r="S34">
        <v>21.2181</v>
      </c>
      <c r="T34">
        <v>0.55659999999999998</v>
      </c>
      <c r="U34">
        <v>19.203299999999999</v>
      </c>
      <c r="V34">
        <v>118899</v>
      </c>
      <c r="W34">
        <v>1.8122</v>
      </c>
    </row>
    <row r="35" spans="1:23" x14ac:dyDescent="0.3">
      <c r="A35">
        <v>2018</v>
      </c>
      <c r="B35" t="s">
        <v>26</v>
      </c>
      <c r="C35" t="s">
        <v>24</v>
      </c>
      <c r="D35">
        <v>719.63</v>
      </c>
      <c r="E35">
        <v>136819</v>
      </c>
      <c r="F35">
        <v>77270</v>
      </c>
      <c r="G35">
        <v>30736</v>
      </c>
      <c r="H35">
        <v>2.1850000000000001</v>
      </c>
      <c r="I35">
        <v>36559</v>
      </c>
      <c r="J35">
        <v>177628</v>
      </c>
      <c r="K35">
        <v>47971</v>
      </c>
      <c r="L35">
        <v>-28504</v>
      </c>
      <c r="M35">
        <v>-13179</v>
      </c>
      <c r="N35">
        <v>3.919</v>
      </c>
      <c r="O35">
        <v>2.2599999999999999E-2</v>
      </c>
      <c r="P35">
        <v>17.303599999999999</v>
      </c>
      <c r="Q35">
        <v>13.203200000000001</v>
      </c>
      <c r="R35">
        <v>16.921399999999998</v>
      </c>
      <c r="S35">
        <v>22.464700000000001</v>
      </c>
      <c r="T35">
        <v>-7.0499999999999993E-2</v>
      </c>
      <c r="U35">
        <v>19.5124</v>
      </c>
      <c r="V35">
        <v>98771</v>
      </c>
      <c r="W35">
        <v>2.4426000000000001</v>
      </c>
    </row>
    <row r="36" spans="1:23" x14ac:dyDescent="0.3">
      <c r="A36">
        <v>2017</v>
      </c>
      <c r="B36" t="s">
        <v>26</v>
      </c>
      <c r="C36" t="s">
        <v>24</v>
      </c>
      <c r="D36">
        <v>726.47</v>
      </c>
      <c r="E36">
        <v>110855</v>
      </c>
      <c r="F36">
        <v>65272</v>
      </c>
      <c r="G36">
        <v>12662</v>
      </c>
      <c r="H36">
        <v>0.9</v>
      </c>
      <c r="I36">
        <v>33093</v>
      </c>
      <c r="J36">
        <v>152502</v>
      </c>
      <c r="K36">
        <v>37091</v>
      </c>
      <c r="L36">
        <v>-31401</v>
      </c>
      <c r="M36">
        <v>-8298</v>
      </c>
      <c r="N36">
        <v>5.1402999999999999</v>
      </c>
      <c r="O36">
        <v>2.5999999999999999E-2</v>
      </c>
      <c r="P36">
        <v>8.3027999999999995</v>
      </c>
      <c r="Q36">
        <v>6.4177999999999997</v>
      </c>
      <c r="R36">
        <v>8.0922000000000001</v>
      </c>
      <c r="S36">
        <v>11.4221</v>
      </c>
      <c r="T36">
        <v>-0.151</v>
      </c>
      <c r="U36">
        <v>9.5158000000000005</v>
      </c>
      <c r="V36">
        <v>80110</v>
      </c>
      <c r="W36">
        <v>2.1301000000000001</v>
      </c>
    </row>
    <row r="37" spans="1:23" x14ac:dyDescent="0.3">
      <c r="A37">
        <v>2016</v>
      </c>
      <c r="B37" t="s">
        <v>26</v>
      </c>
      <c r="C37" t="s">
        <v>24</v>
      </c>
      <c r="D37">
        <v>530.84</v>
      </c>
      <c r="E37">
        <v>90272</v>
      </c>
      <c r="F37">
        <v>55134</v>
      </c>
      <c r="G37">
        <v>19478</v>
      </c>
      <c r="H37">
        <v>1.3925000000000001</v>
      </c>
      <c r="I37">
        <v>29860</v>
      </c>
      <c r="J37">
        <v>139036</v>
      </c>
      <c r="K37">
        <v>36036</v>
      </c>
      <c r="L37">
        <v>-31165</v>
      </c>
      <c r="M37">
        <v>-8332</v>
      </c>
      <c r="N37">
        <v>6.2907999999999999</v>
      </c>
      <c r="O37">
        <v>2.8299999999999999E-2</v>
      </c>
      <c r="P37">
        <v>14.0093</v>
      </c>
      <c r="Q37">
        <v>11.6289</v>
      </c>
      <c r="R37">
        <v>13.623699999999999</v>
      </c>
      <c r="S37">
        <v>21.577000000000002</v>
      </c>
      <c r="T37">
        <v>0.62490000000000001</v>
      </c>
      <c r="U37">
        <v>16.3323</v>
      </c>
      <c r="V37">
        <v>72053</v>
      </c>
      <c r="W37">
        <v>1.2616000000000001</v>
      </c>
    </row>
    <row r="38" spans="1:23" x14ac:dyDescent="0.3">
      <c r="A38">
        <v>2015</v>
      </c>
      <c r="B38" t="s">
        <v>26</v>
      </c>
      <c r="C38" t="s">
        <v>24</v>
      </c>
      <c r="D38">
        <v>521.66999999999996</v>
      </c>
      <c r="E38">
        <v>74989</v>
      </c>
      <c r="F38">
        <v>46825</v>
      </c>
      <c r="G38">
        <v>15826</v>
      </c>
      <c r="H38">
        <v>1.1419999999999999</v>
      </c>
      <c r="I38">
        <v>24423</v>
      </c>
      <c r="J38">
        <v>120331</v>
      </c>
      <c r="K38">
        <v>26572</v>
      </c>
      <c r="L38">
        <v>-23711</v>
      </c>
      <c r="M38">
        <v>-4225</v>
      </c>
      <c r="N38">
        <v>4.6666999999999996</v>
      </c>
      <c r="O38">
        <v>4.3400000000000001E-2</v>
      </c>
      <c r="P38">
        <v>13.585900000000001</v>
      </c>
      <c r="Q38">
        <v>11.0863</v>
      </c>
      <c r="R38">
        <v>13.3643</v>
      </c>
      <c r="S38">
        <v>21.104399999999998</v>
      </c>
      <c r="T38">
        <v>0.3054</v>
      </c>
      <c r="U38">
        <v>16.248100000000001</v>
      </c>
      <c r="V38">
        <v>61814</v>
      </c>
      <c r="W38">
        <v>0.1186</v>
      </c>
    </row>
    <row r="39" spans="1:23" x14ac:dyDescent="0.3">
      <c r="A39">
        <v>2014</v>
      </c>
      <c r="B39" t="s">
        <v>26</v>
      </c>
      <c r="C39" t="s">
        <v>24</v>
      </c>
      <c r="D39">
        <v>354.75</v>
      </c>
      <c r="E39">
        <v>66001</v>
      </c>
      <c r="F39">
        <v>40310</v>
      </c>
      <c r="G39">
        <v>14136</v>
      </c>
      <c r="H39">
        <v>1.0285</v>
      </c>
      <c r="I39">
        <v>21475</v>
      </c>
      <c r="J39">
        <v>103860</v>
      </c>
      <c r="K39">
        <v>23024</v>
      </c>
      <c r="L39">
        <v>-21055</v>
      </c>
      <c r="M39">
        <v>-2087</v>
      </c>
      <c r="N39">
        <v>4.6878000000000002</v>
      </c>
      <c r="O39">
        <v>5.04E-2</v>
      </c>
      <c r="P39">
        <v>13.113799999999999</v>
      </c>
      <c r="Q39">
        <v>10.542899999999999</v>
      </c>
      <c r="R39">
        <v>12.718500000000001</v>
      </c>
      <c r="S39">
        <v>21.417899999999999</v>
      </c>
      <c r="T39">
        <v>4.6300000000000001E-2</v>
      </c>
      <c r="U39">
        <v>16.281400000000001</v>
      </c>
      <c r="V39">
        <v>53600</v>
      </c>
      <c r="W39">
        <v>1.6222000000000001</v>
      </c>
    </row>
    <row r="40" spans="1:23" x14ac:dyDescent="0.3">
      <c r="A40">
        <v>2013</v>
      </c>
      <c r="B40" t="s">
        <v>26</v>
      </c>
      <c r="C40" t="s">
        <v>24</v>
      </c>
      <c r="D40">
        <v>371.53</v>
      </c>
      <c r="E40">
        <v>55519</v>
      </c>
      <c r="F40">
        <v>33526</v>
      </c>
      <c r="G40">
        <v>12733</v>
      </c>
      <c r="H40">
        <v>0.9395</v>
      </c>
      <c r="I40">
        <v>19342</v>
      </c>
      <c r="J40">
        <v>87309</v>
      </c>
      <c r="K40">
        <v>18659</v>
      </c>
      <c r="L40">
        <v>-13679</v>
      </c>
      <c r="M40">
        <v>-857</v>
      </c>
      <c r="N40">
        <v>4.5816999999999997</v>
      </c>
      <c r="O40">
        <v>6.0100000000000001E-2</v>
      </c>
      <c r="P40">
        <v>15.072900000000001</v>
      </c>
      <c r="Q40">
        <v>11.8644</v>
      </c>
      <c r="R40">
        <v>14.6965</v>
      </c>
      <c r="S40">
        <v>22.9345</v>
      </c>
      <c r="T40">
        <v>-0.23730000000000001</v>
      </c>
      <c r="U40">
        <v>18.867100000000001</v>
      </c>
      <c r="V40">
        <v>47756</v>
      </c>
      <c r="W40">
        <v>1.4648000000000001</v>
      </c>
    </row>
    <row r="41" spans="1:23" x14ac:dyDescent="0.3">
      <c r="A41">
        <v>2012</v>
      </c>
      <c r="B41" t="s">
        <v>26</v>
      </c>
      <c r="C41" t="s">
        <v>24</v>
      </c>
      <c r="D41">
        <v>230.54</v>
      </c>
      <c r="E41">
        <v>46039</v>
      </c>
      <c r="F41">
        <v>28863</v>
      </c>
      <c r="G41">
        <v>10737</v>
      </c>
      <c r="H41">
        <v>0.80800000000000005</v>
      </c>
      <c r="I41">
        <v>16796</v>
      </c>
      <c r="J41">
        <v>71715</v>
      </c>
      <c r="K41">
        <v>16619</v>
      </c>
      <c r="L41">
        <v>-13056</v>
      </c>
      <c r="M41">
        <v>1229</v>
      </c>
      <c r="N41">
        <v>4.2165999999999997</v>
      </c>
      <c r="O41">
        <v>7.7200000000000005E-2</v>
      </c>
      <c r="P41">
        <v>16.1096</v>
      </c>
      <c r="Q41">
        <v>12.3169</v>
      </c>
      <c r="R41">
        <v>15.465199999999999</v>
      </c>
      <c r="S41">
        <v>23.3215</v>
      </c>
      <c r="T41">
        <v>0.15390000000000001</v>
      </c>
      <c r="U41">
        <v>21.512</v>
      </c>
      <c r="V41">
        <v>53861</v>
      </c>
      <c r="W41">
        <v>2.0693000000000001</v>
      </c>
    </row>
    <row r="42" spans="1:23" x14ac:dyDescent="0.3">
      <c r="A42">
        <v>2011</v>
      </c>
      <c r="B42" t="s">
        <v>26</v>
      </c>
      <c r="C42" t="s">
        <v>24</v>
      </c>
      <c r="D42">
        <v>207.65</v>
      </c>
      <c r="E42">
        <v>37905</v>
      </c>
      <c r="F42">
        <v>24717</v>
      </c>
      <c r="G42">
        <v>9737</v>
      </c>
      <c r="H42">
        <v>0.74399999999999999</v>
      </c>
      <c r="I42">
        <v>13593</v>
      </c>
      <c r="J42">
        <v>58145</v>
      </c>
      <c r="K42">
        <v>14565</v>
      </c>
      <c r="L42">
        <v>-19041</v>
      </c>
      <c r="M42">
        <v>807</v>
      </c>
      <c r="N42">
        <v>5.9192</v>
      </c>
      <c r="O42">
        <v>7.2300000000000003E-2</v>
      </c>
      <c r="P42">
        <v>16.746099999999998</v>
      </c>
      <c r="Q42">
        <v>13.416700000000001</v>
      </c>
      <c r="R42">
        <v>15.928100000000001</v>
      </c>
      <c r="S42">
        <v>25.687899999999999</v>
      </c>
      <c r="T42">
        <v>0.3039</v>
      </c>
      <c r="U42">
        <v>19.7822</v>
      </c>
      <c r="V42">
        <v>32467</v>
      </c>
      <c r="W42">
        <v>3.1568000000000001</v>
      </c>
    </row>
    <row r="43" spans="1:23" x14ac:dyDescent="0.3">
      <c r="A43">
        <v>2010</v>
      </c>
      <c r="B43" t="s">
        <v>26</v>
      </c>
      <c r="C43" t="s">
        <v>24</v>
      </c>
      <c r="D43">
        <v>188.54</v>
      </c>
      <c r="E43">
        <v>29321</v>
      </c>
      <c r="F43">
        <v>18904</v>
      </c>
      <c r="G43">
        <v>8505</v>
      </c>
      <c r="H43">
        <v>0.65780000000000005</v>
      </c>
      <c r="I43">
        <v>11777</v>
      </c>
      <c r="J43">
        <v>46241</v>
      </c>
      <c r="K43">
        <v>11081</v>
      </c>
      <c r="L43">
        <v>-10680</v>
      </c>
      <c r="M43">
        <v>3050</v>
      </c>
      <c r="N43">
        <v>4.1578999999999997</v>
      </c>
      <c r="O43">
        <v>7.4899999999999994E-2</v>
      </c>
      <c r="P43">
        <v>18.392800000000001</v>
      </c>
      <c r="Q43">
        <v>14.701599999999999</v>
      </c>
      <c r="R43">
        <v>18.392800000000001</v>
      </c>
      <c r="S43">
        <v>29.006499999999999</v>
      </c>
      <c r="T43">
        <v>-0.1195</v>
      </c>
      <c r="U43">
        <v>21.840699999999998</v>
      </c>
      <c r="V43">
        <v>24400</v>
      </c>
      <c r="W43">
        <v>1.64</v>
      </c>
    </row>
    <row r="44" spans="1:23" x14ac:dyDescent="0.3">
      <c r="A44">
        <v>2009</v>
      </c>
      <c r="B44" t="s">
        <v>26</v>
      </c>
      <c r="C44" t="s">
        <v>24</v>
      </c>
      <c r="D44">
        <v>195.27</v>
      </c>
      <c r="E44">
        <v>23651</v>
      </c>
      <c r="F44">
        <v>14807</v>
      </c>
      <c r="G44">
        <v>6520</v>
      </c>
      <c r="H44">
        <v>0.51029999999999998</v>
      </c>
      <c r="I44">
        <v>9836</v>
      </c>
      <c r="J44">
        <v>36004</v>
      </c>
      <c r="K44">
        <v>9316</v>
      </c>
      <c r="L44">
        <v>-8019</v>
      </c>
      <c r="M44">
        <v>233</v>
      </c>
      <c r="N44">
        <v>10.617800000000001</v>
      </c>
      <c r="O44">
        <v>0</v>
      </c>
      <c r="P44">
        <v>18.109100000000002</v>
      </c>
      <c r="Q44">
        <v>16.100000000000001</v>
      </c>
      <c r="R44">
        <v>18.109100000000002</v>
      </c>
      <c r="S44">
        <v>27.567499999999999</v>
      </c>
      <c r="T44">
        <v>0.66569999999999996</v>
      </c>
      <c r="U44">
        <v>21.499700000000001</v>
      </c>
      <c r="V44">
        <v>19835</v>
      </c>
      <c r="W44">
        <v>-0.35549999999999998</v>
      </c>
    </row>
    <row r="45" spans="1:23" x14ac:dyDescent="0.3">
      <c r="A45">
        <v>2022</v>
      </c>
      <c r="B45" t="s">
        <v>27</v>
      </c>
      <c r="C45" t="s">
        <v>28</v>
      </c>
      <c r="D45">
        <v>81.19</v>
      </c>
      <c r="E45">
        <v>27518</v>
      </c>
      <c r="F45">
        <v>11653</v>
      </c>
      <c r="G45">
        <v>2419</v>
      </c>
      <c r="H45">
        <v>2.09</v>
      </c>
      <c r="I45">
        <v>5154</v>
      </c>
      <c r="J45">
        <v>20274</v>
      </c>
      <c r="K45">
        <v>5813</v>
      </c>
      <c r="L45">
        <v>-3421</v>
      </c>
      <c r="M45">
        <v>-1110</v>
      </c>
      <c r="N45">
        <v>1.2753000000000001</v>
      </c>
      <c r="O45">
        <v>0.51380000000000003</v>
      </c>
      <c r="P45">
        <v>11.9315</v>
      </c>
      <c r="Q45">
        <v>3.073</v>
      </c>
      <c r="R45">
        <v>7.8818000000000001</v>
      </c>
      <c r="S45">
        <v>8.7905999999999995</v>
      </c>
      <c r="T45">
        <v>0.28799999999999998</v>
      </c>
      <c r="U45">
        <v>29.2256</v>
      </c>
      <c r="V45">
        <v>29900</v>
      </c>
      <c r="W45">
        <v>8.0028000000000006</v>
      </c>
    </row>
    <row r="46" spans="1:23" x14ac:dyDescent="0.3">
      <c r="A46">
        <v>2021</v>
      </c>
      <c r="B46" t="s">
        <v>27</v>
      </c>
      <c r="C46" t="s">
        <v>28</v>
      </c>
      <c r="D46">
        <v>221.57</v>
      </c>
      <c r="E46">
        <v>25371</v>
      </c>
      <c r="F46">
        <v>11921</v>
      </c>
      <c r="G46">
        <v>4169</v>
      </c>
      <c r="H46">
        <v>3.52</v>
      </c>
      <c r="I46">
        <v>5527</v>
      </c>
      <c r="J46">
        <v>21727</v>
      </c>
      <c r="K46">
        <v>5797</v>
      </c>
      <c r="L46">
        <v>-5149</v>
      </c>
      <c r="M46">
        <v>-557</v>
      </c>
      <c r="N46">
        <v>1.2218</v>
      </c>
      <c r="O46">
        <v>0.3705</v>
      </c>
      <c r="P46">
        <v>19.188099999999999</v>
      </c>
      <c r="Q46">
        <v>5.4997999999999996</v>
      </c>
      <c r="R46">
        <v>14.001200000000001</v>
      </c>
      <c r="S46">
        <v>16.432200000000002</v>
      </c>
      <c r="T46">
        <v>-0.48430000000000001</v>
      </c>
      <c r="U46">
        <v>46.627899999999997</v>
      </c>
      <c r="V46">
        <v>30900</v>
      </c>
      <c r="W46">
        <v>4.6978999999999997</v>
      </c>
    </row>
    <row r="47" spans="1:23" x14ac:dyDescent="0.3">
      <c r="A47">
        <v>2020</v>
      </c>
      <c r="B47" t="s">
        <v>27</v>
      </c>
      <c r="C47" t="s">
        <v>28</v>
      </c>
      <c r="D47">
        <v>274.41000000000003</v>
      </c>
      <c r="E47">
        <v>21454</v>
      </c>
      <c r="F47">
        <v>10001</v>
      </c>
      <c r="G47">
        <v>4202</v>
      </c>
      <c r="H47">
        <v>3.54</v>
      </c>
      <c r="I47">
        <v>4478</v>
      </c>
      <c r="J47">
        <v>20063</v>
      </c>
      <c r="K47">
        <v>6219</v>
      </c>
      <c r="L47">
        <v>-16545</v>
      </c>
      <c r="M47">
        <v>12454</v>
      </c>
      <c r="N47">
        <v>1.3264</v>
      </c>
      <c r="O47">
        <v>0.44550000000000001</v>
      </c>
      <c r="P47">
        <v>20.943999999999999</v>
      </c>
      <c r="Q47">
        <v>5.9705000000000004</v>
      </c>
      <c r="R47">
        <v>14.4887</v>
      </c>
      <c r="S47">
        <v>19.586099999999998</v>
      </c>
      <c r="T47">
        <v>1.7623</v>
      </c>
      <c r="U47">
        <v>42.5304</v>
      </c>
      <c r="V47">
        <v>26500</v>
      </c>
      <c r="W47">
        <v>1.2336</v>
      </c>
    </row>
    <row r="48" spans="1:23" x14ac:dyDescent="0.3">
      <c r="A48">
        <v>2019</v>
      </c>
      <c r="B48" t="s">
        <v>27</v>
      </c>
      <c r="C48" t="s">
        <v>28</v>
      </c>
      <c r="D48">
        <v>127.01</v>
      </c>
      <c r="E48">
        <v>17772</v>
      </c>
      <c r="F48">
        <v>7987</v>
      </c>
      <c r="G48">
        <v>2459</v>
      </c>
      <c r="H48">
        <v>2.0699999999999998</v>
      </c>
      <c r="I48">
        <v>3631</v>
      </c>
      <c r="J48">
        <v>16929</v>
      </c>
      <c r="K48">
        <v>4071</v>
      </c>
      <c r="L48">
        <v>-5742</v>
      </c>
      <c r="M48">
        <v>4187</v>
      </c>
      <c r="N48">
        <v>1.43</v>
      </c>
      <c r="O48">
        <v>0.29330000000000001</v>
      </c>
      <c r="P48">
        <v>14.525399999999999</v>
      </c>
      <c r="Q48">
        <v>4.7903000000000002</v>
      </c>
      <c r="R48">
        <v>11.231400000000001</v>
      </c>
      <c r="S48">
        <v>13.836399999999999</v>
      </c>
      <c r="T48">
        <v>-1.0250999999999999</v>
      </c>
      <c r="U48">
        <v>24.7409</v>
      </c>
      <c r="V48">
        <v>23200</v>
      </c>
      <c r="W48">
        <v>1.8122</v>
      </c>
    </row>
    <row r="49" spans="1:23" x14ac:dyDescent="0.3">
      <c r="A49">
        <v>2018</v>
      </c>
      <c r="B49" t="s">
        <v>27</v>
      </c>
      <c r="C49" t="s">
        <v>28</v>
      </c>
      <c r="D49">
        <v>99.09</v>
      </c>
      <c r="E49">
        <v>15451</v>
      </c>
      <c r="F49">
        <v>7189</v>
      </c>
      <c r="G49">
        <v>2057</v>
      </c>
      <c r="H49">
        <v>1.71</v>
      </c>
      <c r="I49">
        <v>2970</v>
      </c>
      <c r="J49">
        <v>15386</v>
      </c>
      <c r="K49">
        <v>5480</v>
      </c>
      <c r="L49">
        <v>821</v>
      </c>
      <c r="M49">
        <v>-1240</v>
      </c>
      <c r="N49">
        <v>1.2725</v>
      </c>
      <c r="O49">
        <v>0.12989999999999999</v>
      </c>
      <c r="P49">
        <v>13.369300000000001</v>
      </c>
      <c r="Q49">
        <v>4.7470999999999997</v>
      </c>
      <c r="R49">
        <v>13.369300000000001</v>
      </c>
      <c r="S49">
        <v>13.3131</v>
      </c>
      <c r="T49">
        <v>2.347</v>
      </c>
      <c r="U49">
        <v>24.852</v>
      </c>
      <c r="V49">
        <v>21800</v>
      </c>
      <c r="W49">
        <v>2.4426000000000001</v>
      </c>
    </row>
    <row r="50" spans="1:23" x14ac:dyDescent="0.3">
      <c r="A50">
        <v>2017</v>
      </c>
      <c r="B50" t="s">
        <v>27</v>
      </c>
      <c r="C50" t="s">
        <v>28</v>
      </c>
      <c r="D50">
        <v>88.48</v>
      </c>
      <c r="E50">
        <v>13094</v>
      </c>
      <c r="F50">
        <v>6399</v>
      </c>
      <c r="G50">
        <v>1795</v>
      </c>
      <c r="H50">
        <v>1.47</v>
      </c>
      <c r="I50">
        <v>2932</v>
      </c>
      <c r="J50">
        <v>15994</v>
      </c>
      <c r="K50">
        <v>2531</v>
      </c>
      <c r="L50">
        <v>-4485</v>
      </c>
      <c r="M50">
        <v>4084</v>
      </c>
      <c r="N50">
        <v>1.4278999999999999</v>
      </c>
      <c r="O50">
        <v>6.25E-2</v>
      </c>
      <c r="P50">
        <v>11.223000000000001</v>
      </c>
      <c r="Q50">
        <v>4.4023000000000003</v>
      </c>
      <c r="R50">
        <v>11.223000000000001</v>
      </c>
      <c r="S50">
        <v>13.708600000000001</v>
      </c>
      <c r="T50">
        <v>-0.51690000000000003</v>
      </c>
      <c r="U50">
        <v>15.6264</v>
      </c>
      <c r="V50">
        <v>18700</v>
      </c>
      <c r="W50">
        <v>2.1301000000000001</v>
      </c>
    </row>
    <row r="51" spans="1:23" x14ac:dyDescent="0.3">
      <c r="A51">
        <v>2016</v>
      </c>
      <c r="B51" t="s">
        <v>27</v>
      </c>
      <c r="C51" t="s">
        <v>28</v>
      </c>
      <c r="D51">
        <v>47.63</v>
      </c>
      <c r="E51">
        <v>10842</v>
      </c>
      <c r="F51">
        <v>5141</v>
      </c>
      <c r="G51">
        <v>1401</v>
      </c>
      <c r="H51">
        <v>1.1499999999999999</v>
      </c>
      <c r="I51">
        <v>2310</v>
      </c>
      <c r="J51">
        <v>14712</v>
      </c>
      <c r="K51">
        <v>3158</v>
      </c>
      <c r="L51">
        <v>-5904</v>
      </c>
      <c r="M51">
        <v>2038</v>
      </c>
      <c r="N51">
        <v>1.5246</v>
      </c>
      <c r="O51">
        <v>0</v>
      </c>
      <c r="P51">
        <v>9.5228000000000002</v>
      </c>
      <c r="Q51">
        <v>4.2321999999999997</v>
      </c>
      <c r="R51">
        <v>9.5228000000000002</v>
      </c>
      <c r="S51">
        <v>12.922000000000001</v>
      </c>
      <c r="T51">
        <v>0.53820000000000001</v>
      </c>
      <c r="U51">
        <v>13.417</v>
      </c>
      <c r="V51">
        <v>18100</v>
      </c>
      <c r="W51">
        <v>1.2616000000000001</v>
      </c>
    </row>
    <row r="52" spans="1:23" x14ac:dyDescent="0.3">
      <c r="A52">
        <v>2015</v>
      </c>
      <c r="B52" t="s">
        <v>27</v>
      </c>
      <c r="C52" t="s">
        <v>28</v>
      </c>
      <c r="D52">
        <v>44.23</v>
      </c>
      <c r="E52">
        <v>9248</v>
      </c>
      <c r="F52">
        <v>4719</v>
      </c>
      <c r="G52">
        <v>1228</v>
      </c>
      <c r="H52">
        <v>1</v>
      </c>
      <c r="I52">
        <v>2069</v>
      </c>
      <c r="J52">
        <v>13759</v>
      </c>
      <c r="K52">
        <v>2546</v>
      </c>
      <c r="L52">
        <v>-8038</v>
      </c>
      <c r="M52">
        <v>4728</v>
      </c>
      <c r="N52">
        <v>1.5163</v>
      </c>
      <c r="O52">
        <v>0</v>
      </c>
      <c r="P52">
        <v>8.9251000000000005</v>
      </c>
      <c r="Q52">
        <v>4.2519</v>
      </c>
      <c r="R52">
        <v>8.9251000000000005</v>
      </c>
      <c r="S52">
        <v>13.278600000000001</v>
      </c>
      <c r="T52">
        <v>9.35E-2</v>
      </c>
      <c r="U52">
        <v>13.159000000000001</v>
      </c>
      <c r="V52">
        <v>16800</v>
      </c>
      <c r="W52">
        <v>0.1186</v>
      </c>
    </row>
    <row r="53" spans="1:23" x14ac:dyDescent="0.3">
      <c r="A53">
        <v>2014</v>
      </c>
      <c r="B53" t="s">
        <v>27</v>
      </c>
      <c r="C53" t="s">
        <v>28</v>
      </c>
      <c r="E53">
        <v>8025</v>
      </c>
      <c r="F53">
        <v>4218</v>
      </c>
      <c r="G53">
        <v>419</v>
      </c>
      <c r="H53">
        <v>0.34</v>
      </c>
      <c r="I53">
        <v>1784</v>
      </c>
      <c r="J53">
        <v>8248</v>
      </c>
      <c r="K53">
        <v>2220</v>
      </c>
      <c r="L53">
        <v>-2881</v>
      </c>
      <c r="M53">
        <v>1284</v>
      </c>
      <c r="N53">
        <v>1.3224</v>
      </c>
      <c r="O53">
        <v>0.13250000000000001</v>
      </c>
      <c r="P53">
        <v>5.08</v>
      </c>
      <c r="Q53">
        <v>1.9117999999999999</v>
      </c>
      <c r="R53">
        <v>5.08</v>
      </c>
      <c r="S53">
        <v>5.2211999999999996</v>
      </c>
      <c r="T53">
        <v>0.10299999999999999</v>
      </c>
      <c r="U53">
        <v>8.5457999999999998</v>
      </c>
      <c r="V53">
        <v>15800</v>
      </c>
      <c r="W53">
        <v>1.6222000000000001</v>
      </c>
    </row>
    <row r="54" spans="1:23" x14ac:dyDescent="0.3">
      <c r="A54">
        <v>2022</v>
      </c>
      <c r="B54" t="s">
        <v>29</v>
      </c>
      <c r="C54" t="s">
        <v>30</v>
      </c>
      <c r="D54">
        <v>46.99</v>
      </c>
      <c r="E54">
        <v>56437</v>
      </c>
      <c r="F54">
        <v>20762</v>
      </c>
      <c r="G54">
        <v>10247</v>
      </c>
      <c r="H54">
        <v>13.01</v>
      </c>
      <c r="I54">
        <v>20640</v>
      </c>
      <c r="J54">
        <v>42235</v>
      </c>
      <c r="K54">
        <v>4207</v>
      </c>
      <c r="L54">
        <v>-3626</v>
      </c>
      <c r="M54">
        <v>-676</v>
      </c>
      <c r="N54">
        <v>1</v>
      </c>
      <c r="O54">
        <v>0.64349999999999996</v>
      </c>
      <c r="P54">
        <v>27.008400000000002</v>
      </c>
      <c r="Q54">
        <v>2.1410999999999998</v>
      </c>
      <c r="R54">
        <v>16.244599999999998</v>
      </c>
      <c r="S54">
        <v>18.156500000000001</v>
      </c>
      <c r="T54">
        <v>-1.9207000000000001</v>
      </c>
      <c r="U54">
        <v>26.6982</v>
      </c>
      <c r="V54">
        <v>26200</v>
      </c>
      <c r="W54">
        <v>8.0028000000000006</v>
      </c>
    </row>
    <row r="55" spans="1:23" x14ac:dyDescent="0.3">
      <c r="A55">
        <v>2021</v>
      </c>
      <c r="B55" t="s">
        <v>29</v>
      </c>
      <c r="C55" t="s">
        <v>30</v>
      </c>
      <c r="D55">
        <v>47.21</v>
      </c>
      <c r="E55">
        <v>52057</v>
      </c>
      <c r="F55">
        <v>15322</v>
      </c>
      <c r="G55">
        <v>9359</v>
      </c>
      <c r="H55">
        <v>10.82</v>
      </c>
      <c r="I55">
        <v>15382</v>
      </c>
      <c r="J55">
        <v>68912</v>
      </c>
      <c r="K55">
        <v>6279</v>
      </c>
      <c r="L55">
        <v>-3280</v>
      </c>
      <c r="M55">
        <v>-3735</v>
      </c>
      <c r="N55">
        <v>1</v>
      </c>
      <c r="O55">
        <v>0.43769999999999998</v>
      </c>
      <c r="P55">
        <v>14.5016</v>
      </c>
      <c r="Q55">
        <v>1.6646000000000001</v>
      </c>
      <c r="R55">
        <v>10.015700000000001</v>
      </c>
      <c r="S55">
        <v>17.978400000000001</v>
      </c>
      <c r="T55">
        <v>6.0658000000000003</v>
      </c>
      <c r="U55">
        <v>14.3995</v>
      </c>
      <c r="V55">
        <v>36600</v>
      </c>
      <c r="W55">
        <v>4.6978999999999997</v>
      </c>
    </row>
    <row r="56" spans="1:23" x14ac:dyDescent="0.3">
      <c r="A56">
        <v>2020</v>
      </c>
      <c r="B56" t="s">
        <v>29</v>
      </c>
      <c r="C56" t="s">
        <v>30</v>
      </c>
      <c r="D56">
        <v>32.619999999999997</v>
      </c>
      <c r="E56">
        <v>43736</v>
      </c>
      <c r="F56">
        <v>6912</v>
      </c>
      <c r="G56">
        <v>-5973</v>
      </c>
      <c r="H56">
        <v>-6.88</v>
      </c>
      <c r="I56">
        <v>6821</v>
      </c>
      <c r="J56">
        <v>67199</v>
      </c>
      <c r="K56">
        <v>1038</v>
      </c>
      <c r="L56">
        <v>-6202</v>
      </c>
      <c r="M56">
        <v>5058</v>
      </c>
      <c r="N56">
        <v>1</v>
      </c>
      <c r="O56">
        <v>0.55859999999999999</v>
      </c>
      <c r="P56">
        <v>-8.7432999999999996</v>
      </c>
      <c r="Q56">
        <v>-0.99460000000000004</v>
      </c>
      <c r="R56">
        <v>-5.5693999999999999</v>
      </c>
      <c r="S56">
        <v>-13.6569</v>
      </c>
      <c r="T56">
        <v>3.2256</v>
      </c>
      <c r="U56">
        <v>-8.6801999999999992</v>
      </c>
      <c r="V56">
        <v>45000</v>
      </c>
      <c r="W56">
        <v>1.2336</v>
      </c>
    </row>
    <row r="57" spans="1:23" x14ac:dyDescent="0.3">
      <c r="A57">
        <v>2019</v>
      </c>
      <c r="B57" t="s">
        <v>29</v>
      </c>
      <c r="C57" t="s">
        <v>30</v>
      </c>
      <c r="D57">
        <v>44.65</v>
      </c>
      <c r="E57">
        <v>49746</v>
      </c>
      <c r="F57">
        <v>11975</v>
      </c>
      <c r="G57">
        <v>3326</v>
      </c>
      <c r="H57">
        <v>3.74</v>
      </c>
      <c r="I57">
        <v>11817</v>
      </c>
      <c r="J57">
        <v>67427</v>
      </c>
      <c r="K57">
        <v>-1807</v>
      </c>
      <c r="L57">
        <v>-5475</v>
      </c>
      <c r="M57">
        <v>7258</v>
      </c>
      <c r="N57">
        <v>1</v>
      </c>
      <c r="O57">
        <v>0.52429999999999999</v>
      </c>
      <c r="P57">
        <v>6.1561000000000003</v>
      </c>
      <c r="Q57">
        <v>0.78490000000000004</v>
      </c>
      <c r="R57">
        <v>4.0096999999999996</v>
      </c>
      <c r="S57">
        <v>6.6859999999999999</v>
      </c>
      <c r="T57">
        <v>-1.5986</v>
      </c>
      <c r="U57">
        <v>6.1117999999999997</v>
      </c>
      <c r="V57">
        <v>46000</v>
      </c>
      <c r="W57">
        <v>1.8122</v>
      </c>
    </row>
    <row r="58" spans="1:23" x14ac:dyDescent="0.3">
      <c r="A58">
        <v>2018</v>
      </c>
      <c r="B58" t="s">
        <v>29</v>
      </c>
      <c r="C58" t="s">
        <v>30</v>
      </c>
      <c r="D58">
        <v>34.86</v>
      </c>
      <c r="E58">
        <v>47389</v>
      </c>
      <c r="F58">
        <v>6921</v>
      </c>
      <c r="G58">
        <v>-6</v>
      </c>
      <c r="H58">
        <v>-0.01</v>
      </c>
      <c r="I58">
        <v>6897</v>
      </c>
      <c r="J58">
        <v>57309</v>
      </c>
      <c r="K58">
        <v>-394</v>
      </c>
      <c r="L58">
        <v>-223</v>
      </c>
      <c r="M58">
        <v>1249</v>
      </c>
      <c r="N58">
        <v>1</v>
      </c>
      <c r="O58">
        <v>0.60270000000000001</v>
      </c>
      <c r="P58">
        <v>0.1797</v>
      </c>
      <c r="Q58">
        <v>2.0899999999999998E-2</v>
      </c>
      <c r="R58">
        <v>0.11210000000000001</v>
      </c>
      <c r="S58">
        <v>-1.2699999999999999E-2</v>
      </c>
      <c r="T58">
        <v>7.9684999999999997</v>
      </c>
      <c r="U58">
        <v>0.1797</v>
      </c>
      <c r="V58">
        <v>49600</v>
      </c>
      <c r="W58">
        <v>2.4426000000000001</v>
      </c>
    </row>
    <row r="59" spans="1:23" x14ac:dyDescent="0.3">
      <c r="A59">
        <v>2017</v>
      </c>
      <c r="B59" t="s">
        <v>29</v>
      </c>
      <c r="C59" t="s">
        <v>30</v>
      </c>
      <c r="D59">
        <v>53.56</v>
      </c>
      <c r="E59">
        <v>49520</v>
      </c>
      <c r="F59">
        <v>6849</v>
      </c>
      <c r="G59">
        <v>-6084</v>
      </c>
      <c r="H59">
        <v>-6.54</v>
      </c>
      <c r="I59">
        <v>6435</v>
      </c>
      <c r="J59">
        <v>65708</v>
      </c>
      <c r="K59">
        <v>-7818</v>
      </c>
      <c r="L59">
        <v>14041</v>
      </c>
      <c r="M59">
        <v>-5697</v>
      </c>
      <c r="N59">
        <v>1</v>
      </c>
      <c r="O59">
        <v>0.48149999999999998</v>
      </c>
      <c r="P59">
        <v>-9.2225999999999999</v>
      </c>
      <c r="Q59">
        <v>-1.2161</v>
      </c>
      <c r="R59">
        <v>-6.2251000000000003</v>
      </c>
      <c r="S59">
        <v>-12.2859</v>
      </c>
      <c r="T59">
        <v>-11.611000000000001</v>
      </c>
      <c r="U59">
        <v>-9.2225999999999999</v>
      </c>
      <c r="V59">
        <v>49800</v>
      </c>
      <c r="W59">
        <v>2.1301000000000001</v>
      </c>
    </row>
    <row r="60" spans="1:23" x14ac:dyDescent="0.3">
      <c r="A60">
        <v>2016</v>
      </c>
      <c r="B60" t="s">
        <v>29</v>
      </c>
      <c r="C60" t="s">
        <v>30</v>
      </c>
      <c r="D60">
        <v>67.08</v>
      </c>
      <c r="E60">
        <v>52367</v>
      </c>
      <c r="F60">
        <v>5236</v>
      </c>
      <c r="G60">
        <v>-849</v>
      </c>
      <c r="H60">
        <v>-0.78</v>
      </c>
      <c r="I60">
        <v>4805</v>
      </c>
      <c r="J60">
        <v>76858</v>
      </c>
      <c r="K60">
        <v>3502</v>
      </c>
      <c r="L60">
        <v>3252</v>
      </c>
      <c r="M60">
        <v>-6833</v>
      </c>
      <c r="N60">
        <v>1</v>
      </c>
      <c r="O60">
        <v>0.4022</v>
      </c>
      <c r="P60">
        <v>-0.33700000000000002</v>
      </c>
      <c r="Q60">
        <v>-5.1999999999999998E-2</v>
      </c>
      <c r="R60">
        <v>-0.24030000000000001</v>
      </c>
      <c r="S60">
        <v>-1.6213</v>
      </c>
      <c r="T60">
        <v>1.0537000000000001</v>
      </c>
      <c r="U60">
        <v>-0.33700000000000002</v>
      </c>
      <c r="V60">
        <v>56400</v>
      </c>
      <c r="W60">
        <v>1.2616000000000001</v>
      </c>
    </row>
    <row r="61" spans="1:23" x14ac:dyDescent="0.3">
      <c r="A61">
        <v>2015</v>
      </c>
      <c r="B61" t="s">
        <v>29</v>
      </c>
      <c r="C61" t="s">
        <v>30</v>
      </c>
      <c r="D61">
        <v>76.66</v>
      </c>
      <c r="E61">
        <v>58327</v>
      </c>
      <c r="F61">
        <v>10565</v>
      </c>
      <c r="G61">
        <v>2196</v>
      </c>
      <c r="H61">
        <v>1.65</v>
      </c>
      <c r="I61">
        <v>9958</v>
      </c>
      <c r="J61">
        <v>90210</v>
      </c>
      <c r="K61">
        <v>2877</v>
      </c>
      <c r="L61">
        <v>8462</v>
      </c>
      <c r="M61">
        <v>-11429</v>
      </c>
      <c r="N61">
        <v>1</v>
      </c>
      <c r="O61">
        <v>0.32419999999999999</v>
      </c>
      <c r="P61">
        <v>2.4630999999999998</v>
      </c>
      <c r="Q61">
        <v>0.44719999999999999</v>
      </c>
      <c r="R61">
        <v>1.8601000000000001</v>
      </c>
      <c r="S61">
        <v>3.7650000000000001</v>
      </c>
      <c r="T61">
        <v>-1.3029999999999999</v>
      </c>
      <c r="U61">
        <v>2.4630999999999998</v>
      </c>
      <c r="V61">
        <v>66400</v>
      </c>
      <c r="W61">
        <v>0.1186</v>
      </c>
    </row>
    <row r="62" spans="1:23" x14ac:dyDescent="0.3">
      <c r="A62">
        <v>2014</v>
      </c>
      <c r="B62" t="s">
        <v>29</v>
      </c>
      <c r="C62" t="s">
        <v>30</v>
      </c>
      <c r="D62">
        <v>78.41</v>
      </c>
      <c r="E62">
        <v>64406</v>
      </c>
      <c r="F62">
        <v>19219</v>
      </c>
      <c r="G62">
        <v>7529</v>
      </c>
      <c r="H62">
        <v>5.2</v>
      </c>
      <c r="I62">
        <v>16752</v>
      </c>
      <c r="J62">
        <v>107272</v>
      </c>
      <c r="K62">
        <v>5007</v>
      </c>
      <c r="L62">
        <v>14284</v>
      </c>
      <c r="M62">
        <v>-19788</v>
      </c>
      <c r="N62">
        <v>1</v>
      </c>
      <c r="O62">
        <v>0.29099999999999998</v>
      </c>
      <c r="P62">
        <v>7.0606</v>
      </c>
      <c r="Q62">
        <v>1.4690000000000001</v>
      </c>
      <c r="R62">
        <v>5.4690000000000003</v>
      </c>
      <c r="S62">
        <v>11.6899</v>
      </c>
      <c r="T62">
        <v>-0.50070000000000003</v>
      </c>
      <c r="U62">
        <v>7.0606</v>
      </c>
      <c r="V62">
        <v>65000</v>
      </c>
      <c r="W62">
        <v>1.6222000000000001</v>
      </c>
    </row>
    <row r="63" spans="1:23" x14ac:dyDescent="0.3">
      <c r="A63">
        <v>2013</v>
      </c>
      <c r="B63" t="s">
        <v>29</v>
      </c>
      <c r="C63" t="s">
        <v>30</v>
      </c>
      <c r="D63">
        <v>75.16</v>
      </c>
      <c r="E63">
        <v>68874</v>
      </c>
      <c r="F63">
        <v>21915</v>
      </c>
      <c r="G63">
        <v>9085</v>
      </c>
      <c r="H63">
        <v>6.13</v>
      </c>
      <c r="I63">
        <v>16922</v>
      </c>
      <c r="J63">
        <v>101081</v>
      </c>
      <c r="K63">
        <v>5865</v>
      </c>
      <c r="L63">
        <v>7099</v>
      </c>
      <c r="M63">
        <v>-11758</v>
      </c>
      <c r="N63">
        <v>1</v>
      </c>
      <c r="O63">
        <v>0.41249999999999998</v>
      </c>
      <c r="P63">
        <v>8.9116999999999997</v>
      </c>
      <c r="Q63">
        <v>1.6640999999999999</v>
      </c>
      <c r="R63">
        <v>6.3093000000000004</v>
      </c>
      <c r="S63">
        <v>13.190799999999999</v>
      </c>
      <c r="T63">
        <v>1.7808999999999999</v>
      </c>
      <c r="U63">
        <v>8.9116999999999997</v>
      </c>
      <c r="V63">
        <v>64000</v>
      </c>
      <c r="W63">
        <v>1.4648000000000001</v>
      </c>
    </row>
    <row r="64" spans="1:23" x14ac:dyDescent="0.3">
      <c r="A64">
        <v>2012</v>
      </c>
      <c r="B64" t="s">
        <v>29</v>
      </c>
      <c r="C64" t="s">
        <v>30</v>
      </c>
      <c r="D64">
        <v>52.11</v>
      </c>
      <c r="E64">
        <v>71214</v>
      </c>
      <c r="F64">
        <v>21825</v>
      </c>
      <c r="G64">
        <v>3438</v>
      </c>
      <c r="H64">
        <v>2.04</v>
      </c>
      <c r="I64">
        <v>19327</v>
      </c>
      <c r="J64">
        <v>98669</v>
      </c>
      <c r="K64">
        <v>3676</v>
      </c>
      <c r="L64">
        <v>16612</v>
      </c>
      <c r="M64">
        <v>-20564</v>
      </c>
      <c r="N64">
        <v>1</v>
      </c>
      <c r="O64">
        <v>0.49149999999999999</v>
      </c>
      <c r="P64">
        <v>3.7488999999999999</v>
      </c>
      <c r="Q64">
        <v>0.67420000000000002</v>
      </c>
      <c r="R64">
        <v>2.5133999999999999</v>
      </c>
      <c r="S64">
        <v>4.8277000000000001</v>
      </c>
      <c r="T64">
        <v>2.2237</v>
      </c>
      <c r="U64">
        <v>3.7488999999999999</v>
      </c>
      <c r="V64">
        <v>63000</v>
      </c>
      <c r="W64">
        <v>2.0693000000000001</v>
      </c>
    </row>
    <row r="65" spans="1:23" x14ac:dyDescent="0.3">
      <c r="A65">
        <v>2011</v>
      </c>
      <c r="B65" t="s">
        <v>29</v>
      </c>
      <c r="C65" t="s">
        <v>30</v>
      </c>
      <c r="D65">
        <v>44.06</v>
      </c>
      <c r="E65">
        <v>65105</v>
      </c>
      <c r="F65">
        <v>18692</v>
      </c>
      <c r="G65">
        <v>19810</v>
      </c>
      <c r="H65">
        <v>11.01</v>
      </c>
      <c r="I65">
        <v>15225</v>
      </c>
      <c r="J65">
        <v>102393</v>
      </c>
      <c r="K65">
        <v>-81</v>
      </c>
      <c r="L65">
        <v>36448</v>
      </c>
      <c r="M65">
        <v>-36926</v>
      </c>
      <c r="N65">
        <v>1</v>
      </c>
      <c r="O65">
        <v>0.7349</v>
      </c>
      <c r="P65">
        <v>18.4222</v>
      </c>
      <c r="Q65">
        <v>3.4106999999999998</v>
      </c>
      <c r="R65">
        <v>10.6183</v>
      </c>
      <c r="S65">
        <v>30.427800000000001</v>
      </c>
      <c r="T65">
        <v>-121.5022</v>
      </c>
      <c r="U65">
        <v>18.4222</v>
      </c>
      <c r="V65">
        <v>57000</v>
      </c>
      <c r="W65">
        <v>3.1568000000000001</v>
      </c>
    </row>
    <row r="66" spans="1:23" x14ac:dyDescent="0.3">
      <c r="A66">
        <v>2010</v>
      </c>
      <c r="B66" t="s">
        <v>29</v>
      </c>
      <c r="C66" t="s">
        <v>30</v>
      </c>
      <c r="D66">
        <v>7.79</v>
      </c>
      <c r="E66">
        <v>72829</v>
      </c>
      <c r="F66">
        <v>16787</v>
      </c>
      <c r="G66">
        <v>2046</v>
      </c>
      <c r="H66">
        <v>14.98</v>
      </c>
      <c r="I66">
        <v>21166</v>
      </c>
      <c r="J66">
        <v>113239</v>
      </c>
      <c r="K66">
        <v>16597</v>
      </c>
      <c r="L66">
        <v>-9912</v>
      </c>
      <c r="M66">
        <v>-9261</v>
      </c>
      <c r="N66">
        <v>1</v>
      </c>
      <c r="O66">
        <v>0.75480000000000003</v>
      </c>
      <c r="P66">
        <v>32.126199999999997</v>
      </c>
      <c r="Q66">
        <v>1.9393</v>
      </c>
      <c r="R66">
        <v>6.6699000000000002</v>
      </c>
      <c r="S66">
        <v>2.8092999999999999</v>
      </c>
      <c r="T66">
        <v>-15.871499999999999</v>
      </c>
      <c r="U66">
        <v>11.704499999999999</v>
      </c>
      <c r="V66">
        <v>63000</v>
      </c>
      <c r="W66">
        <v>1.64</v>
      </c>
    </row>
    <row r="67" spans="1:23" x14ac:dyDescent="0.3">
      <c r="A67">
        <v>2009</v>
      </c>
      <c r="B67" t="s">
        <v>29</v>
      </c>
      <c r="C67" t="s">
        <v>30</v>
      </c>
      <c r="D67">
        <v>4.04</v>
      </c>
      <c r="E67">
        <v>75447</v>
      </c>
      <c r="F67">
        <v>18614</v>
      </c>
      <c r="G67">
        <v>-12244</v>
      </c>
      <c r="H67">
        <v>-90.48</v>
      </c>
      <c r="I67">
        <v>27765</v>
      </c>
      <c r="J67">
        <v>98076</v>
      </c>
      <c r="K67">
        <v>18584</v>
      </c>
      <c r="L67">
        <v>5778</v>
      </c>
      <c r="M67">
        <v>-28997</v>
      </c>
      <c r="N67">
        <v>1</v>
      </c>
      <c r="O67">
        <v>1.1552</v>
      </c>
      <c r="P67">
        <v>-45.306100000000001</v>
      </c>
      <c r="Q67">
        <v>-1.5123</v>
      </c>
      <c r="R67">
        <v>-6.0640999999999998</v>
      </c>
      <c r="S67">
        <v>-16.2286</v>
      </c>
      <c r="T67">
        <v>137.3287</v>
      </c>
      <c r="U67">
        <v>-13.950699999999999</v>
      </c>
      <c r="V67">
        <v>96000</v>
      </c>
      <c r="W67">
        <v>-0.35549999999999998</v>
      </c>
    </row>
    <row r="68" spans="1:23" x14ac:dyDescent="0.3">
      <c r="A68">
        <v>2022</v>
      </c>
      <c r="B68" t="s">
        <v>31</v>
      </c>
      <c r="C68" t="s">
        <v>32</v>
      </c>
      <c r="D68">
        <v>41.28</v>
      </c>
      <c r="E68">
        <v>21680</v>
      </c>
      <c r="F68">
        <v>16824</v>
      </c>
      <c r="G68">
        <v>1800</v>
      </c>
      <c r="H68">
        <v>0.84</v>
      </c>
      <c r="I68">
        <v>5693</v>
      </c>
      <c r="J68">
        <v>23075</v>
      </c>
      <c r="K68">
        <v>3721</v>
      </c>
      <c r="L68">
        <v>-10214</v>
      </c>
      <c r="M68">
        <v>7133</v>
      </c>
      <c r="N68">
        <v>0.81169999999999998</v>
      </c>
      <c r="O68">
        <v>2.2563</v>
      </c>
      <c r="P68">
        <v>7.8613</v>
      </c>
      <c r="Q68">
        <v>1.5288999999999999</v>
      </c>
      <c r="R68">
        <v>2.5615000000000001</v>
      </c>
      <c r="S68">
        <v>8.3026</v>
      </c>
      <c r="T68">
        <v>-1.6E-2</v>
      </c>
      <c r="U68">
        <v>7.8613</v>
      </c>
      <c r="V68">
        <v>26010</v>
      </c>
      <c r="W68">
        <v>8.0028000000000006</v>
      </c>
    </row>
    <row r="69" spans="1:23" x14ac:dyDescent="0.3">
      <c r="A69">
        <v>2021</v>
      </c>
      <c r="B69" t="s">
        <v>31</v>
      </c>
      <c r="C69" t="s">
        <v>32</v>
      </c>
      <c r="D69">
        <v>32.200000000000003</v>
      </c>
      <c r="E69">
        <v>20642</v>
      </c>
      <c r="F69">
        <v>16261</v>
      </c>
      <c r="G69">
        <v>-102</v>
      </c>
      <c r="H69">
        <v>-0.05</v>
      </c>
      <c r="I69">
        <v>5286</v>
      </c>
      <c r="J69">
        <v>21223</v>
      </c>
      <c r="K69">
        <v>2262</v>
      </c>
      <c r="L69">
        <v>-6905</v>
      </c>
      <c r="M69">
        <v>4323</v>
      </c>
      <c r="N69">
        <v>0.63560000000000005</v>
      </c>
      <c r="O69">
        <v>2.1152000000000002</v>
      </c>
      <c r="P69">
        <v>-0.41460000000000002</v>
      </c>
      <c r="Q69">
        <v>-8.5199999999999998E-2</v>
      </c>
      <c r="R69">
        <v>-0.14799999999999999</v>
      </c>
      <c r="S69">
        <v>-0.49409999999999998</v>
      </c>
      <c r="T69">
        <v>18.602499999999999</v>
      </c>
      <c r="U69">
        <v>-0.41460000000000002</v>
      </c>
      <c r="V69">
        <v>26000</v>
      </c>
      <c r="W69">
        <v>4.6978999999999997</v>
      </c>
    </row>
    <row r="70" spans="1:23" x14ac:dyDescent="0.3">
      <c r="A70">
        <v>2020</v>
      </c>
      <c r="B70" t="s">
        <v>31</v>
      </c>
      <c r="C70" t="s">
        <v>32</v>
      </c>
      <c r="D70">
        <v>24.1</v>
      </c>
      <c r="E70">
        <v>18469</v>
      </c>
      <c r="F70">
        <v>14571</v>
      </c>
      <c r="G70">
        <v>-1318</v>
      </c>
      <c r="H70">
        <v>-1.05</v>
      </c>
      <c r="I70">
        <v>5223</v>
      </c>
      <c r="J70">
        <v>21253</v>
      </c>
      <c r="K70">
        <v>-19130</v>
      </c>
      <c r="L70">
        <v>-7748</v>
      </c>
      <c r="M70">
        <v>25928</v>
      </c>
      <c r="N70">
        <v>0.70699999999999996</v>
      </c>
      <c r="O70">
        <v>1.9227000000000001</v>
      </c>
      <c r="P70">
        <v>-6.1356000000000002</v>
      </c>
      <c r="Q70">
        <v>-1.3326</v>
      </c>
      <c r="R70">
        <v>-2.2275</v>
      </c>
      <c r="S70">
        <v>-7.1363000000000003</v>
      </c>
      <c r="T70">
        <v>-18.501300000000001</v>
      </c>
      <c r="U70">
        <v>-6.1356000000000002</v>
      </c>
      <c r="V70">
        <v>24000</v>
      </c>
      <c r="W70">
        <v>1.2336</v>
      </c>
    </row>
    <row r="71" spans="1:23" x14ac:dyDescent="0.3">
      <c r="A71">
        <v>2019</v>
      </c>
      <c r="B71" t="s">
        <v>31</v>
      </c>
      <c r="C71" t="s">
        <v>32</v>
      </c>
      <c r="D71">
        <v>24.73</v>
      </c>
      <c r="E71">
        <v>17129</v>
      </c>
      <c r="F71">
        <v>13300</v>
      </c>
      <c r="G71">
        <v>-7656</v>
      </c>
      <c r="H71">
        <v>-14.5</v>
      </c>
      <c r="I71">
        <v>-6860</v>
      </c>
      <c r="J71">
        <v>5388</v>
      </c>
      <c r="K71">
        <v>4816</v>
      </c>
      <c r="L71">
        <v>-6378</v>
      </c>
      <c r="M71">
        <v>1464</v>
      </c>
      <c r="N71">
        <v>1.3321000000000001</v>
      </c>
      <c r="O71">
        <v>0</v>
      </c>
      <c r="P71">
        <v>-141.83369999999999</v>
      </c>
      <c r="Q71">
        <v>-8.9699000000000009</v>
      </c>
      <c r="R71">
        <v>-141.83369999999999</v>
      </c>
      <c r="S71">
        <v>-44.696100000000001</v>
      </c>
      <c r="T71">
        <v>0.57289999999999996</v>
      </c>
      <c r="U71">
        <v>-141.83369999999999</v>
      </c>
      <c r="V71">
        <v>23000</v>
      </c>
      <c r="W71">
        <v>1.8122</v>
      </c>
    </row>
    <row r="72" spans="1:23" x14ac:dyDescent="0.3">
      <c r="A72">
        <v>2018</v>
      </c>
      <c r="B72" t="s">
        <v>31</v>
      </c>
      <c r="C72" t="s">
        <v>32</v>
      </c>
      <c r="D72">
        <v>5.75</v>
      </c>
      <c r="E72">
        <v>16759</v>
      </c>
      <c r="F72">
        <v>12260</v>
      </c>
      <c r="G72">
        <v>-6851</v>
      </c>
      <c r="H72">
        <v>-13.25</v>
      </c>
      <c r="I72">
        <v>-6664</v>
      </c>
      <c r="J72">
        <v>12903</v>
      </c>
      <c r="K72">
        <v>4752</v>
      </c>
      <c r="L72">
        <v>-6564</v>
      </c>
      <c r="M72">
        <v>3031</v>
      </c>
      <c r="N72">
        <v>0.2205</v>
      </c>
      <c r="O72">
        <v>1.7045999999999999</v>
      </c>
      <c r="P72">
        <v>-52.987699999999997</v>
      </c>
      <c r="Q72">
        <v>-8.8797999999999995</v>
      </c>
      <c r="R72">
        <v>-52.987699999999997</v>
      </c>
      <c r="S72">
        <v>-40.8795</v>
      </c>
      <c r="T72">
        <v>-4.0631000000000004</v>
      </c>
      <c r="U72">
        <v>-52.987699999999997</v>
      </c>
      <c r="V72">
        <v>24000</v>
      </c>
      <c r="W72">
        <v>2.4426000000000001</v>
      </c>
    </row>
    <row r="73" spans="1:23" x14ac:dyDescent="0.3">
      <c r="A73">
        <v>2017</v>
      </c>
      <c r="B73" t="s">
        <v>31</v>
      </c>
      <c r="C73" t="s">
        <v>32</v>
      </c>
      <c r="D73">
        <v>12.32</v>
      </c>
      <c r="E73">
        <v>17135</v>
      </c>
      <c r="F73">
        <v>12080</v>
      </c>
      <c r="G73">
        <v>1646</v>
      </c>
      <c r="H73">
        <v>3.21</v>
      </c>
      <c r="I73">
        <v>5759</v>
      </c>
      <c r="J73">
        <v>19472</v>
      </c>
      <c r="K73">
        <v>5977</v>
      </c>
      <c r="L73">
        <v>-5650</v>
      </c>
      <c r="M73">
        <v>-55</v>
      </c>
      <c r="N73">
        <v>0.88100000000000001</v>
      </c>
      <c r="O73">
        <v>0.98240000000000005</v>
      </c>
      <c r="P73">
        <v>8.5251000000000001</v>
      </c>
      <c r="Q73">
        <v>2.4407000000000001</v>
      </c>
      <c r="R73">
        <v>4.4593999999999996</v>
      </c>
      <c r="S73">
        <v>9.6060999999999996</v>
      </c>
      <c r="T73">
        <v>3.2498</v>
      </c>
      <c r="U73">
        <v>8.5251000000000001</v>
      </c>
      <c r="V73">
        <v>23000</v>
      </c>
      <c r="W73">
        <v>2.1301000000000001</v>
      </c>
    </row>
    <row r="74" spans="1:23" x14ac:dyDescent="0.3">
      <c r="A74">
        <v>2016</v>
      </c>
      <c r="B74" t="s">
        <v>31</v>
      </c>
      <c r="C74" t="s">
        <v>32</v>
      </c>
      <c r="D74">
        <v>23.06</v>
      </c>
      <c r="E74">
        <v>17666</v>
      </c>
      <c r="F74">
        <v>12286</v>
      </c>
      <c r="G74">
        <v>1393</v>
      </c>
      <c r="H74">
        <v>2.78</v>
      </c>
      <c r="I74">
        <v>4835</v>
      </c>
      <c r="J74">
        <v>18192</v>
      </c>
      <c r="K74">
        <v>4409</v>
      </c>
      <c r="L74">
        <v>-5753</v>
      </c>
      <c r="M74">
        <v>1171</v>
      </c>
      <c r="N74">
        <v>0.81489999999999996</v>
      </c>
      <c r="O74">
        <v>1.0134000000000001</v>
      </c>
      <c r="P74">
        <v>7.7342000000000004</v>
      </c>
      <c r="Q74">
        <v>2.0510999999999999</v>
      </c>
      <c r="R74">
        <v>4.0887000000000002</v>
      </c>
      <c r="S74">
        <v>7.8852000000000002</v>
      </c>
      <c r="T74">
        <v>0.2656</v>
      </c>
      <c r="U74">
        <v>7.7342000000000004</v>
      </c>
      <c r="V74">
        <v>24000</v>
      </c>
      <c r="W74">
        <v>1.2616000000000001</v>
      </c>
    </row>
    <row r="75" spans="1:23" x14ac:dyDescent="0.3">
      <c r="A75">
        <v>2015</v>
      </c>
      <c r="B75" t="s">
        <v>31</v>
      </c>
      <c r="C75" t="s">
        <v>32</v>
      </c>
      <c r="D75">
        <v>30.73</v>
      </c>
      <c r="E75">
        <v>16833</v>
      </c>
      <c r="F75">
        <v>11071</v>
      </c>
      <c r="G75">
        <v>874</v>
      </c>
      <c r="H75">
        <v>1.79</v>
      </c>
      <c r="I75">
        <v>4120</v>
      </c>
      <c r="J75">
        <v>16828</v>
      </c>
      <c r="K75">
        <v>3780</v>
      </c>
      <c r="L75">
        <v>-5211</v>
      </c>
      <c r="M75">
        <v>1403</v>
      </c>
      <c r="N75">
        <v>0.91359999999999997</v>
      </c>
      <c r="O75">
        <v>1.0164</v>
      </c>
      <c r="P75">
        <v>5.2769000000000004</v>
      </c>
      <c r="Q75">
        <v>1.4043000000000001</v>
      </c>
      <c r="R75">
        <v>2.7111999999999998</v>
      </c>
      <c r="S75">
        <v>5.1921999999999997</v>
      </c>
      <c r="T75">
        <v>-0.42849999999999999</v>
      </c>
      <c r="U75">
        <v>5.2769000000000004</v>
      </c>
      <c r="V75">
        <v>23000</v>
      </c>
      <c r="W75">
        <v>0.1186</v>
      </c>
    </row>
    <row r="76" spans="1:23" x14ac:dyDescent="0.3">
      <c r="A76">
        <v>2014</v>
      </c>
      <c r="B76" t="s">
        <v>31</v>
      </c>
      <c r="C76" t="s">
        <v>32</v>
      </c>
      <c r="D76">
        <v>26.09</v>
      </c>
      <c r="E76">
        <v>17090</v>
      </c>
      <c r="F76">
        <v>10521</v>
      </c>
      <c r="G76">
        <v>1436</v>
      </c>
      <c r="H76">
        <v>3.06</v>
      </c>
      <c r="I76">
        <v>4883</v>
      </c>
      <c r="J76">
        <v>16000</v>
      </c>
      <c r="K76">
        <v>3690</v>
      </c>
      <c r="L76">
        <v>-4714</v>
      </c>
      <c r="M76">
        <v>879</v>
      </c>
      <c r="N76">
        <v>1.0791999999999999</v>
      </c>
      <c r="O76">
        <v>0.98019999999999996</v>
      </c>
      <c r="P76">
        <v>9.0625</v>
      </c>
      <c r="Q76">
        <v>2.4116</v>
      </c>
      <c r="R76">
        <v>4.6699000000000002</v>
      </c>
      <c r="S76">
        <v>8.4025999999999996</v>
      </c>
      <c r="T76">
        <v>1.5681</v>
      </c>
      <c r="U76">
        <v>9.0625</v>
      </c>
      <c r="V76">
        <v>22581</v>
      </c>
      <c r="W76">
        <v>1.6222000000000001</v>
      </c>
    </row>
    <row r="77" spans="1:23" x14ac:dyDescent="0.3">
      <c r="A77">
        <v>2013</v>
      </c>
      <c r="B77" t="s">
        <v>31</v>
      </c>
      <c r="C77" t="s">
        <v>32</v>
      </c>
      <c r="D77">
        <v>25.29</v>
      </c>
      <c r="E77">
        <v>15598</v>
      </c>
      <c r="F77">
        <v>9614</v>
      </c>
      <c r="G77">
        <v>814</v>
      </c>
      <c r="H77">
        <v>1.83</v>
      </c>
      <c r="I77">
        <v>3839</v>
      </c>
      <c r="J77">
        <v>14594</v>
      </c>
      <c r="K77">
        <v>3427</v>
      </c>
      <c r="L77">
        <v>-5107</v>
      </c>
      <c r="M77">
        <v>1575</v>
      </c>
      <c r="N77">
        <v>0.79769999999999996</v>
      </c>
      <c r="O77">
        <v>1.0126999999999999</v>
      </c>
      <c r="P77">
        <v>5.6736000000000004</v>
      </c>
      <c r="Q77">
        <v>1.4891000000000001</v>
      </c>
      <c r="R77">
        <v>3.0316999999999998</v>
      </c>
      <c r="S77">
        <v>5.2186000000000003</v>
      </c>
      <c r="T77">
        <v>-4.6071</v>
      </c>
      <c r="U77">
        <v>5.6736000000000004</v>
      </c>
      <c r="V77">
        <v>21166</v>
      </c>
      <c r="W77">
        <v>1.4648000000000001</v>
      </c>
    </row>
    <row r="78" spans="1:23" x14ac:dyDescent="0.3">
      <c r="A78">
        <v>2012</v>
      </c>
      <c r="B78" t="s">
        <v>31</v>
      </c>
      <c r="C78" t="s">
        <v>32</v>
      </c>
      <c r="D78">
        <v>18.100000000000001</v>
      </c>
      <c r="E78">
        <v>15040</v>
      </c>
      <c r="F78">
        <v>10017</v>
      </c>
      <c r="G78">
        <v>816</v>
      </c>
      <c r="H78">
        <v>1.92</v>
      </c>
      <c r="I78">
        <v>3965</v>
      </c>
      <c r="J78">
        <v>13326</v>
      </c>
      <c r="K78">
        <v>4882</v>
      </c>
      <c r="L78">
        <v>-4526</v>
      </c>
      <c r="M78">
        <v>-468</v>
      </c>
      <c r="N78">
        <v>0.81859999999999999</v>
      </c>
      <c r="O78">
        <v>1.0062</v>
      </c>
      <c r="P78">
        <v>6.2283999999999997</v>
      </c>
      <c r="Q78">
        <v>1.5825</v>
      </c>
      <c r="R78">
        <v>3.2117</v>
      </c>
      <c r="S78">
        <v>5.4255000000000004</v>
      </c>
      <c r="T78">
        <v>1.3509</v>
      </c>
      <c r="U78">
        <v>6.2283999999999997</v>
      </c>
      <c r="V78">
        <v>20593</v>
      </c>
      <c r="W78">
        <v>2.0693000000000001</v>
      </c>
    </row>
    <row r="79" spans="1:23" x14ac:dyDescent="0.3">
      <c r="A79">
        <v>2011</v>
      </c>
      <c r="B79" t="s">
        <v>31</v>
      </c>
      <c r="C79" t="s">
        <v>32</v>
      </c>
      <c r="D79">
        <v>17.14</v>
      </c>
      <c r="E79">
        <v>14956</v>
      </c>
      <c r="F79">
        <v>9623</v>
      </c>
      <c r="G79">
        <v>844</v>
      </c>
      <c r="H79">
        <v>2.1</v>
      </c>
      <c r="I79">
        <v>4157</v>
      </c>
      <c r="J79">
        <v>12353</v>
      </c>
      <c r="K79">
        <v>3739</v>
      </c>
      <c r="L79">
        <v>-3986</v>
      </c>
      <c r="M79">
        <v>469</v>
      </c>
      <c r="N79">
        <v>0.83620000000000005</v>
      </c>
      <c r="O79">
        <v>1.1241000000000001</v>
      </c>
      <c r="P79">
        <v>6.9457000000000004</v>
      </c>
      <c r="Q79">
        <v>1.7245999999999999</v>
      </c>
      <c r="R79">
        <v>3.5573999999999999</v>
      </c>
      <c r="S79">
        <v>5.6432000000000002</v>
      </c>
      <c r="T79">
        <v>0.77659999999999996</v>
      </c>
      <c r="U79">
        <v>6.9457000000000004</v>
      </c>
      <c r="V79">
        <v>19274</v>
      </c>
      <c r="W79">
        <v>3.1568000000000001</v>
      </c>
    </row>
    <row r="80" spans="1:23" x14ac:dyDescent="0.3">
      <c r="A80">
        <v>2010</v>
      </c>
      <c r="B80" t="s">
        <v>31</v>
      </c>
      <c r="C80" t="s">
        <v>32</v>
      </c>
      <c r="D80">
        <v>16.73</v>
      </c>
      <c r="E80">
        <v>13841</v>
      </c>
      <c r="F80">
        <v>8652</v>
      </c>
      <c r="G80">
        <v>1099</v>
      </c>
      <c r="H80">
        <v>2.82</v>
      </c>
      <c r="I80">
        <v>4213</v>
      </c>
      <c r="J80">
        <v>11534</v>
      </c>
      <c r="K80">
        <v>3206</v>
      </c>
      <c r="L80">
        <v>-3857</v>
      </c>
      <c r="M80">
        <v>415</v>
      </c>
      <c r="N80">
        <v>0.77129999999999999</v>
      </c>
      <c r="O80">
        <v>1.1613</v>
      </c>
      <c r="P80">
        <v>9.6496999999999993</v>
      </c>
      <c r="Q80">
        <v>2.4182999999999999</v>
      </c>
      <c r="R80">
        <v>4.8681000000000001</v>
      </c>
      <c r="S80">
        <v>7.9401999999999999</v>
      </c>
      <c r="T80">
        <v>0.86040000000000005</v>
      </c>
      <c r="U80">
        <v>9.6496999999999993</v>
      </c>
      <c r="V80">
        <v>19424</v>
      </c>
      <c r="W80">
        <v>1.64</v>
      </c>
    </row>
    <row r="81" spans="1:23" x14ac:dyDescent="0.3">
      <c r="A81">
        <v>2009</v>
      </c>
      <c r="B81" t="s">
        <v>31</v>
      </c>
      <c r="C81" t="s">
        <v>32</v>
      </c>
      <c r="D81">
        <v>18.760000000000002</v>
      </c>
      <c r="E81">
        <v>13399</v>
      </c>
      <c r="F81">
        <v>8397</v>
      </c>
      <c r="G81">
        <v>1220</v>
      </c>
      <c r="H81">
        <v>3.2</v>
      </c>
      <c r="I81">
        <v>4051</v>
      </c>
      <c r="J81">
        <v>10585</v>
      </c>
      <c r="K81">
        <v>3039</v>
      </c>
      <c r="L81">
        <v>-3336</v>
      </c>
      <c r="M81">
        <v>605</v>
      </c>
      <c r="N81">
        <v>0.83030000000000004</v>
      </c>
      <c r="O81">
        <v>1.2062999999999999</v>
      </c>
      <c r="P81">
        <v>11.657999999999999</v>
      </c>
      <c r="Q81">
        <v>2.8734000000000002</v>
      </c>
      <c r="R81">
        <v>5.6623999999999999</v>
      </c>
      <c r="S81">
        <v>9.1052</v>
      </c>
      <c r="T81">
        <v>-2.3807999999999998</v>
      </c>
      <c r="U81">
        <v>11.657999999999999</v>
      </c>
      <c r="V81">
        <v>19425</v>
      </c>
      <c r="W81">
        <v>-0.35549999999999998</v>
      </c>
    </row>
    <row r="82" spans="1:23" x14ac:dyDescent="0.3">
      <c r="A82">
        <v>2018</v>
      </c>
      <c r="B82" t="s">
        <v>33</v>
      </c>
      <c r="C82" t="s">
        <v>34</v>
      </c>
      <c r="D82">
        <v>0.04</v>
      </c>
      <c r="E82">
        <v>16702</v>
      </c>
      <c r="F82">
        <v>3527</v>
      </c>
      <c r="G82">
        <v>-383</v>
      </c>
      <c r="H82">
        <v>-3.57</v>
      </c>
      <c r="I82">
        <v>-52</v>
      </c>
      <c r="J82">
        <v>-3723</v>
      </c>
      <c r="K82">
        <v>-1842</v>
      </c>
      <c r="L82">
        <v>1894</v>
      </c>
      <c r="M82">
        <v>-2</v>
      </c>
      <c r="N82">
        <v>0.77559999999999996</v>
      </c>
      <c r="O82">
        <v>-1.1099000000000001</v>
      </c>
      <c r="P82">
        <v>10.2874</v>
      </c>
      <c r="Q82">
        <v>-5.274</v>
      </c>
      <c r="R82">
        <v>25.983699999999999</v>
      </c>
      <c r="S82">
        <v>-2.2930999999999999</v>
      </c>
      <c r="T82">
        <v>3.0663</v>
      </c>
      <c r="U82">
        <v>7.4225000000000003</v>
      </c>
      <c r="V82">
        <v>89900</v>
      </c>
      <c r="W82">
        <v>2.4426000000000001</v>
      </c>
    </row>
    <row r="83" spans="1:23" x14ac:dyDescent="0.3">
      <c r="A83">
        <v>2017</v>
      </c>
      <c r="B83" t="s">
        <v>33</v>
      </c>
      <c r="C83" t="s">
        <v>34</v>
      </c>
      <c r="D83">
        <v>0.37</v>
      </c>
      <c r="E83">
        <v>22138</v>
      </c>
      <c r="F83">
        <v>4686</v>
      </c>
      <c r="G83">
        <v>-2221</v>
      </c>
      <c r="H83">
        <v>-20.78</v>
      </c>
      <c r="I83">
        <v>-1610</v>
      </c>
      <c r="J83">
        <v>-3824</v>
      </c>
      <c r="K83">
        <v>-1381</v>
      </c>
      <c r="L83">
        <v>244</v>
      </c>
      <c r="M83">
        <v>1185</v>
      </c>
      <c r="N83">
        <v>1.0672999999999999</v>
      </c>
      <c r="O83">
        <v>-1.0887</v>
      </c>
      <c r="P83">
        <v>58.080500000000001</v>
      </c>
      <c r="Q83">
        <v>-23.723600000000001</v>
      </c>
      <c r="R83">
        <v>884.8605</v>
      </c>
      <c r="S83">
        <v>-10.032500000000001</v>
      </c>
      <c r="T83">
        <v>-13.9382</v>
      </c>
      <c r="U83">
        <v>39.561799999999998</v>
      </c>
      <c r="V83">
        <v>140000</v>
      </c>
      <c r="W83">
        <v>2.1301000000000001</v>
      </c>
    </row>
    <row r="84" spans="1:23" x14ac:dyDescent="0.3">
      <c r="A84">
        <v>2016</v>
      </c>
      <c r="B84" t="s">
        <v>33</v>
      </c>
      <c r="C84" t="s">
        <v>34</v>
      </c>
      <c r="D84">
        <v>1.1100000000000001</v>
      </c>
      <c r="E84">
        <v>25146</v>
      </c>
      <c r="F84">
        <v>5810</v>
      </c>
      <c r="G84">
        <v>-1129</v>
      </c>
      <c r="H84">
        <v>-10.59</v>
      </c>
      <c r="I84">
        <v>-570</v>
      </c>
      <c r="J84">
        <v>-1956</v>
      </c>
      <c r="K84">
        <v>-2167</v>
      </c>
      <c r="L84">
        <v>2519</v>
      </c>
      <c r="M84">
        <v>-364</v>
      </c>
      <c r="N84">
        <v>1.1115999999999999</v>
      </c>
      <c r="O84">
        <v>-1.5215000000000001</v>
      </c>
      <c r="P84">
        <v>57.668700000000001</v>
      </c>
      <c r="Q84">
        <v>-9.9497</v>
      </c>
      <c r="R84">
        <v>-742.10519999999997</v>
      </c>
      <c r="S84">
        <v>-4.4897999999999998</v>
      </c>
      <c r="T84">
        <v>14.901400000000001</v>
      </c>
      <c r="U84">
        <v>27.285900000000002</v>
      </c>
      <c r="V84">
        <v>178000</v>
      </c>
      <c r="W84">
        <v>1.2616000000000001</v>
      </c>
    </row>
    <row r="85" spans="1:23" x14ac:dyDescent="0.3">
      <c r="A85">
        <v>2015</v>
      </c>
      <c r="B85" t="s">
        <v>33</v>
      </c>
      <c r="C85" t="s">
        <v>34</v>
      </c>
      <c r="D85">
        <v>2.19</v>
      </c>
      <c r="E85">
        <v>31198</v>
      </c>
      <c r="F85">
        <v>7149</v>
      </c>
      <c r="G85">
        <v>-1682</v>
      </c>
      <c r="H85">
        <v>-15.82</v>
      </c>
      <c r="I85">
        <v>-889</v>
      </c>
      <c r="J85">
        <v>-945</v>
      </c>
      <c r="K85">
        <v>-1387</v>
      </c>
      <c r="L85">
        <v>327</v>
      </c>
      <c r="M85">
        <v>285</v>
      </c>
      <c r="N85">
        <v>1.0479000000000001</v>
      </c>
      <c r="O85">
        <v>-3.9958</v>
      </c>
      <c r="P85">
        <v>191.53440000000001</v>
      </c>
      <c r="Q85">
        <v>-13.7277</v>
      </c>
      <c r="R85">
        <v>-84.500500000000002</v>
      </c>
      <c r="S85">
        <v>-5.3914</v>
      </c>
      <c r="T85">
        <v>-7.4240000000000004</v>
      </c>
      <c r="U85">
        <v>54.6663</v>
      </c>
      <c r="V85">
        <v>196000</v>
      </c>
      <c r="W85">
        <v>0.1186</v>
      </c>
    </row>
    <row r="86" spans="1:23" x14ac:dyDescent="0.3">
      <c r="A86">
        <v>2014</v>
      </c>
      <c r="B86" t="s">
        <v>33</v>
      </c>
      <c r="C86" t="s">
        <v>34</v>
      </c>
      <c r="D86">
        <v>3.51</v>
      </c>
      <c r="E86">
        <v>36188</v>
      </c>
      <c r="F86">
        <v>8755</v>
      </c>
      <c r="G86">
        <v>-1365</v>
      </c>
      <c r="H86">
        <v>-12.87</v>
      </c>
      <c r="I86">
        <v>-195</v>
      </c>
      <c r="J86">
        <v>2183</v>
      </c>
      <c r="K86">
        <v>-1109</v>
      </c>
      <c r="L86">
        <v>664</v>
      </c>
      <c r="M86">
        <v>902</v>
      </c>
      <c r="N86">
        <v>1.0946</v>
      </c>
      <c r="O86">
        <v>1.9463999999999999</v>
      </c>
      <c r="P86">
        <v>-51.122300000000003</v>
      </c>
      <c r="Q86">
        <v>-6.1113999999999997</v>
      </c>
      <c r="R86">
        <v>-22.244399999999999</v>
      </c>
      <c r="S86">
        <v>-3.7719999999999998</v>
      </c>
      <c r="T86">
        <v>-2.7683</v>
      </c>
      <c r="U86">
        <v>106.6922</v>
      </c>
      <c r="V86">
        <v>226000</v>
      </c>
      <c r="W86">
        <v>1.6222000000000001</v>
      </c>
    </row>
    <row r="87" spans="1:23" x14ac:dyDescent="0.3">
      <c r="A87">
        <v>2013</v>
      </c>
      <c r="B87" t="s">
        <v>33</v>
      </c>
      <c r="C87" t="s">
        <v>34</v>
      </c>
      <c r="D87">
        <v>4.9000000000000004</v>
      </c>
      <c r="E87">
        <v>39854</v>
      </c>
      <c r="F87">
        <v>10514</v>
      </c>
      <c r="G87">
        <v>-930</v>
      </c>
      <c r="H87">
        <v>-8.7799999999999994</v>
      </c>
      <c r="I87">
        <v>-8</v>
      </c>
      <c r="J87">
        <v>3172</v>
      </c>
      <c r="K87">
        <v>-303</v>
      </c>
      <c r="L87">
        <v>191</v>
      </c>
      <c r="M87">
        <v>-27</v>
      </c>
      <c r="N87">
        <v>1.1011</v>
      </c>
      <c r="O87">
        <v>0.98360000000000003</v>
      </c>
      <c r="P87">
        <v>-33.228299999999997</v>
      </c>
      <c r="Q87">
        <v>-5.4497999999999998</v>
      </c>
      <c r="R87">
        <v>-20.606100000000001</v>
      </c>
      <c r="S87">
        <v>-2.3334999999999999</v>
      </c>
      <c r="T87">
        <v>4.5387000000000004</v>
      </c>
      <c r="U87">
        <v>1197.7270000000001</v>
      </c>
      <c r="V87">
        <v>246000</v>
      </c>
      <c r="W87">
        <v>1.4648000000000001</v>
      </c>
    </row>
    <row r="88" spans="1:23" x14ac:dyDescent="0.3">
      <c r="A88">
        <v>2012</v>
      </c>
      <c r="B88" t="s">
        <v>33</v>
      </c>
      <c r="C88" t="s">
        <v>34</v>
      </c>
      <c r="D88">
        <v>4.47</v>
      </c>
      <c r="E88">
        <v>41567</v>
      </c>
      <c r="F88">
        <v>10601</v>
      </c>
      <c r="G88">
        <v>-3140</v>
      </c>
      <c r="H88">
        <v>-29.4</v>
      </c>
      <c r="I88">
        <v>-648</v>
      </c>
      <c r="J88">
        <v>4341</v>
      </c>
      <c r="K88">
        <v>-275</v>
      </c>
      <c r="L88">
        <v>-309</v>
      </c>
      <c r="M88">
        <v>-28</v>
      </c>
      <c r="N88">
        <v>1.1120000000000001</v>
      </c>
      <c r="O88">
        <v>0.80469999999999997</v>
      </c>
      <c r="P88">
        <v>-71.872799999999998</v>
      </c>
      <c r="Q88">
        <v>-14.5924</v>
      </c>
      <c r="R88">
        <v>-48.530099999999997</v>
      </c>
      <c r="S88">
        <v>-7.5541</v>
      </c>
      <c r="T88">
        <v>-3.5464000000000002</v>
      </c>
      <c r="U88">
        <v>-554.17409999999995</v>
      </c>
      <c r="V88">
        <v>264000</v>
      </c>
      <c r="W88">
        <v>2.0693000000000001</v>
      </c>
    </row>
    <row r="89" spans="1:23" x14ac:dyDescent="0.3">
      <c r="A89">
        <v>2011</v>
      </c>
      <c r="B89" t="s">
        <v>33</v>
      </c>
      <c r="C89" t="s">
        <v>34</v>
      </c>
      <c r="D89">
        <v>3.39</v>
      </c>
      <c r="E89">
        <v>42664</v>
      </c>
      <c r="F89">
        <v>11664</v>
      </c>
      <c r="G89">
        <v>133</v>
      </c>
      <c r="H89">
        <v>1.19</v>
      </c>
      <c r="I89">
        <v>1306</v>
      </c>
      <c r="J89">
        <v>8614</v>
      </c>
      <c r="K89">
        <v>123</v>
      </c>
      <c r="L89">
        <v>-406</v>
      </c>
      <c r="M89">
        <v>-95</v>
      </c>
      <c r="N89">
        <v>1.3374999999999999</v>
      </c>
      <c r="O89">
        <v>0.37069999999999997</v>
      </c>
      <c r="P89">
        <v>1.6136999999999999</v>
      </c>
      <c r="Q89">
        <v>0.5706</v>
      </c>
      <c r="R89">
        <v>1.2685</v>
      </c>
      <c r="S89">
        <v>0.31169999999999998</v>
      </c>
      <c r="T89">
        <v>-12.4078</v>
      </c>
      <c r="U89">
        <v>3.2867999999999999</v>
      </c>
      <c r="V89">
        <v>280000</v>
      </c>
      <c r="W89">
        <v>3.1568000000000001</v>
      </c>
    </row>
    <row r="90" spans="1:23" x14ac:dyDescent="0.3">
      <c r="A90">
        <v>2010</v>
      </c>
      <c r="B90" t="s">
        <v>33</v>
      </c>
      <c r="C90" t="s">
        <v>34</v>
      </c>
      <c r="D90">
        <v>8.2200000000000006</v>
      </c>
      <c r="E90">
        <v>43360</v>
      </c>
      <c r="F90">
        <v>11986</v>
      </c>
      <c r="G90">
        <v>235</v>
      </c>
      <c r="H90">
        <v>1.99</v>
      </c>
      <c r="I90">
        <v>1561</v>
      </c>
      <c r="J90">
        <v>9435</v>
      </c>
      <c r="K90">
        <v>1507</v>
      </c>
      <c r="L90">
        <v>-172</v>
      </c>
      <c r="M90">
        <v>-951</v>
      </c>
      <c r="N90">
        <v>1.3018000000000001</v>
      </c>
      <c r="O90">
        <v>0.26550000000000001</v>
      </c>
      <c r="P90">
        <v>2.9676999999999998</v>
      </c>
      <c r="Q90">
        <v>1.1287</v>
      </c>
      <c r="R90">
        <v>2.5150000000000001</v>
      </c>
      <c r="S90">
        <v>0.54200000000000004</v>
      </c>
      <c r="T90">
        <v>5.4337</v>
      </c>
      <c r="U90">
        <v>5.7911000000000001</v>
      </c>
      <c r="V90">
        <v>290000</v>
      </c>
      <c r="W90">
        <v>1.64</v>
      </c>
    </row>
    <row r="91" spans="1:23" x14ac:dyDescent="0.3">
      <c r="A91">
        <v>2009</v>
      </c>
      <c r="B91" t="s">
        <v>33</v>
      </c>
      <c r="C91" t="s">
        <v>34</v>
      </c>
      <c r="D91">
        <v>8.98</v>
      </c>
      <c r="E91">
        <v>46770</v>
      </c>
      <c r="F91">
        <v>12652</v>
      </c>
      <c r="G91">
        <v>53</v>
      </c>
      <c r="H91">
        <v>0.42</v>
      </c>
      <c r="I91">
        <v>1283</v>
      </c>
      <c r="J91">
        <v>9699</v>
      </c>
      <c r="K91">
        <v>992</v>
      </c>
      <c r="L91">
        <v>-637</v>
      </c>
      <c r="M91">
        <v>-643</v>
      </c>
      <c r="N91">
        <v>1.3411999999999999</v>
      </c>
      <c r="O91">
        <v>0.30099999999999999</v>
      </c>
      <c r="P91">
        <v>1.0206999999999999</v>
      </c>
      <c r="Q91">
        <v>0.39069999999999999</v>
      </c>
      <c r="R91">
        <v>0.83679999999999999</v>
      </c>
      <c r="S91">
        <v>0.1133</v>
      </c>
      <c r="T91">
        <v>4.5747999999999998</v>
      </c>
      <c r="U91">
        <v>1.9704999999999999</v>
      </c>
      <c r="V91">
        <v>291000</v>
      </c>
      <c r="W91">
        <v>-0.35549999999999998</v>
      </c>
    </row>
    <row r="92" spans="1:23" x14ac:dyDescent="0.3">
      <c r="A92">
        <v>2022</v>
      </c>
      <c r="B92" t="s">
        <v>35</v>
      </c>
      <c r="C92" t="s">
        <v>36</v>
      </c>
      <c r="D92">
        <v>186.39</v>
      </c>
      <c r="E92">
        <v>23182.6</v>
      </c>
      <c r="F92">
        <v>13207.2</v>
      </c>
      <c r="G92">
        <v>6177.4</v>
      </c>
      <c r="H92">
        <v>8.33</v>
      </c>
      <c r="I92">
        <v>11241.6</v>
      </c>
      <c r="J92">
        <v>-6003.4</v>
      </c>
      <c r="K92">
        <v>7386.7</v>
      </c>
      <c r="L92">
        <v>-2678.1</v>
      </c>
      <c r="M92">
        <v>-6580.2</v>
      </c>
      <c r="N92">
        <v>1.4266000000000001</v>
      </c>
      <c r="O92">
        <v>-5.9805000000000001</v>
      </c>
      <c r="P92">
        <v>-102.89830000000001</v>
      </c>
      <c r="Q92">
        <v>12.248100000000001</v>
      </c>
      <c r="R92">
        <v>20.6601</v>
      </c>
      <c r="S92">
        <v>26.646699999999999</v>
      </c>
      <c r="T92">
        <v>-2.1322999999999999</v>
      </c>
      <c r="U92">
        <v>-69.379400000000004</v>
      </c>
      <c r="V92">
        <v>150000</v>
      </c>
      <c r="W92">
        <v>8.0028000000000006</v>
      </c>
    </row>
    <row r="93" spans="1:23" x14ac:dyDescent="0.3">
      <c r="A93">
        <v>2021</v>
      </c>
      <c r="B93" t="s">
        <v>35</v>
      </c>
      <c r="C93" t="s">
        <v>36</v>
      </c>
      <c r="D93">
        <v>193.02</v>
      </c>
      <c r="E93">
        <v>23222.9</v>
      </c>
      <c r="F93">
        <v>12580.2</v>
      </c>
      <c r="G93">
        <v>7545.2</v>
      </c>
      <c r="H93">
        <v>10.039999999999999</v>
      </c>
      <c r="I93">
        <v>12224.1</v>
      </c>
      <c r="J93">
        <v>-4601</v>
      </c>
      <c r="K93">
        <v>9141.5</v>
      </c>
      <c r="L93">
        <v>-2165.6999999999998</v>
      </c>
      <c r="M93">
        <v>-5595.6</v>
      </c>
      <c r="N93">
        <v>1.7782</v>
      </c>
      <c r="O93">
        <v>-7.7423999999999999</v>
      </c>
      <c r="P93">
        <v>-163.99029999999999</v>
      </c>
      <c r="Q93">
        <v>14.010400000000001</v>
      </c>
      <c r="R93">
        <v>24.322299999999998</v>
      </c>
      <c r="S93">
        <v>32.490299999999998</v>
      </c>
      <c r="T93">
        <v>3.3856999999999999</v>
      </c>
      <c r="U93">
        <v>-102.19</v>
      </c>
      <c r="V93">
        <v>200000</v>
      </c>
      <c r="W93">
        <v>4.6978999999999997</v>
      </c>
    </row>
    <row r="94" spans="1:23" x14ac:dyDescent="0.3">
      <c r="A94">
        <v>2020</v>
      </c>
      <c r="B94" t="s">
        <v>35</v>
      </c>
      <c r="C94" t="s">
        <v>36</v>
      </c>
      <c r="D94">
        <v>200.31</v>
      </c>
      <c r="E94">
        <v>19207.8</v>
      </c>
      <c r="F94">
        <v>9752.1010000000006</v>
      </c>
      <c r="G94">
        <v>4730.5</v>
      </c>
      <c r="H94">
        <v>6.31</v>
      </c>
      <c r="I94">
        <v>9075.4</v>
      </c>
      <c r="J94">
        <v>-7824.9</v>
      </c>
      <c r="K94">
        <v>6265.2</v>
      </c>
      <c r="L94">
        <v>-1545.8</v>
      </c>
      <c r="M94">
        <v>-2249</v>
      </c>
      <c r="N94">
        <v>1.01</v>
      </c>
      <c r="O94">
        <v>-4.7847999999999997</v>
      </c>
      <c r="P94">
        <v>-60.454500000000003</v>
      </c>
      <c r="Q94">
        <v>8.9887999999999995</v>
      </c>
      <c r="R94">
        <v>17.282299999999999</v>
      </c>
      <c r="S94">
        <v>24.628</v>
      </c>
      <c r="T94">
        <v>-1.4852000000000001</v>
      </c>
      <c r="U94">
        <v>-44.635800000000003</v>
      </c>
      <c r="V94">
        <v>200000</v>
      </c>
      <c r="W94">
        <v>1.2336</v>
      </c>
    </row>
    <row r="95" spans="1:23" x14ac:dyDescent="0.3">
      <c r="A95">
        <v>2019</v>
      </c>
      <c r="B95" t="s">
        <v>35</v>
      </c>
      <c r="C95" t="s">
        <v>36</v>
      </c>
      <c r="D95">
        <v>159.88999999999999</v>
      </c>
      <c r="E95">
        <v>21364.400000000001</v>
      </c>
      <c r="F95">
        <v>11179.4</v>
      </c>
      <c r="G95">
        <v>6025.4</v>
      </c>
      <c r="H95">
        <v>7.88</v>
      </c>
      <c r="I95">
        <v>10687.7</v>
      </c>
      <c r="J95">
        <v>-8210.2999999999993</v>
      </c>
      <c r="K95">
        <v>8122.1</v>
      </c>
      <c r="L95">
        <v>-3071.1</v>
      </c>
      <c r="M95">
        <v>-4994.8</v>
      </c>
      <c r="N95">
        <v>0.98260000000000003</v>
      </c>
      <c r="O95">
        <v>-4.1627000000000001</v>
      </c>
      <c r="P95">
        <v>-73.388300000000001</v>
      </c>
      <c r="Q95">
        <v>12.6822</v>
      </c>
      <c r="R95">
        <v>23.257100000000001</v>
      </c>
      <c r="S95">
        <v>28.202999999999999</v>
      </c>
      <c r="T95">
        <v>2.1046</v>
      </c>
      <c r="U95">
        <v>-55.3414</v>
      </c>
      <c r="V95">
        <v>205000</v>
      </c>
      <c r="W95">
        <v>1.8122</v>
      </c>
    </row>
    <row r="96" spans="1:23" x14ac:dyDescent="0.3">
      <c r="A96">
        <v>2018</v>
      </c>
      <c r="B96" t="s">
        <v>35</v>
      </c>
      <c r="C96" t="s">
        <v>36</v>
      </c>
      <c r="D96">
        <v>148.82</v>
      </c>
      <c r="E96">
        <v>21257.9</v>
      </c>
      <c r="F96">
        <v>10832.6</v>
      </c>
      <c r="G96">
        <v>5924.3</v>
      </c>
      <c r="H96">
        <v>7.54</v>
      </c>
      <c r="I96">
        <v>10304.6</v>
      </c>
      <c r="J96">
        <v>-6258.4</v>
      </c>
      <c r="K96">
        <v>6966.7</v>
      </c>
      <c r="L96">
        <v>-2455.1</v>
      </c>
      <c r="M96">
        <v>-5949.6</v>
      </c>
      <c r="N96">
        <v>1.3631</v>
      </c>
      <c r="O96">
        <v>-4.9653999999999998</v>
      </c>
      <c r="P96">
        <v>-94.661600000000007</v>
      </c>
      <c r="Q96">
        <v>18.055700000000002</v>
      </c>
      <c r="R96">
        <v>23.872</v>
      </c>
      <c r="S96">
        <v>27.8687</v>
      </c>
      <c r="T96">
        <v>0.84360000000000002</v>
      </c>
      <c r="U96">
        <v>-68.968199999999996</v>
      </c>
      <c r="V96">
        <v>210000</v>
      </c>
      <c r="W96">
        <v>2.4426000000000001</v>
      </c>
    </row>
    <row r="97" spans="1:23" x14ac:dyDescent="0.3">
      <c r="A97">
        <v>2017</v>
      </c>
      <c r="B97" t="s">
        <v>35</v>
      </c>
      <c r="C97" t="s">
        <v>36</v>
      </c>
      <c r="D97">
        <v>136.88999999999999</v>
      </c>
      <c r="E97">
        <v>22820.400000000001</v>
      </c>
      <c r="F97">
        <v>10620.8</v>
      </c>
      <c r="G97">
        <v>5192.3</v>
      </c>
      <c r="H97">
        <v>6.37</v>
      </c>
      <c r="I97">
        <v>10916.1</v>
      </c>
      <c r="J97">
        <v>-3268</v>
      </c>
      <c r="K97">
        <v>5551.2</v>
      </c>
      <c r="L97">
        <v>562</v>
      </c>
      <c r="M97">
        <v>-5310.8</v>
      </c>
      <c r="N97">
        <v>1.8429</v>
      </c>
      <c r="O97">
        <v>-9.0381</v>
      </c>
      <c r="P97">
        <v>-158.88319999999999</v>
      </c>
      <c r="Q97">
        <v>15.360200000000001</v>
      </c>
      <c r="R97">
        <v>19.766300000000001</v>
      </c>
      <c r="S97">
        <v>22.7529</v>
      </c>
      <c r="T97">
        <v>-0.27929999999999999</v>
      </c>
      <c r="U97">
        <v>-91.936499999999995</v>
      </c>
      <c r="V97">
        <v>235000</v>
      </c>
      <c r="W97">
        <v>2.1301000000000001</v>
      </c>
    </row>
    <row r="98" spans="1:23" x14ac:dyDescent="0.3">
      <c r="A98">
        <v>2016</v>
      </c>
      <c r="B98" t="s">
        <v>35</v>
      </c>
      <c r="C98" t="s">
        <v>36</v>
      </c>
      <c r="D98">
        <v>137.21</v>
      </c>
      <c r="E98">
        <v>24621.9</v>
      </c>
      <c r="F98">
        <v>10204.700000000001</v>
      </c>
      <c r="G98">
        <v>4686.5</v>
      </c>
      <c r="H98">
        <v>5.44</v>
      </c>
      <c r="I98">
        <v>9261.0020000000004</v>
      </c>
      <c r="J98">
        <v>-2204.3000000000002</v>
      </c>
      <c r="K98">
        <v>6059.6</v>
      </c>
      <c r="L98">
        <v>-981.6</v>
      </c>
      <c r="M98">
        <v>-11262.4</v>
      </c>
      <c r="N98">
        <v>1.3979999999999999</v>
      </c>
      <c r="O98">
        <v>-11.775</v>
      </c>
      <c r="P98">
        <v>-212.6069</v>
      </c>
      <c r="Q98">
        <v>15.1061</v>
      </c>
      <c r="R98">
        <v>19.7958</v>
      </c>
      <c r="S98">
        <v>19.033899999999999</v>
      </c>
      <c r="T98">
        <v>-0.21</v>
      </c>
      <c r="U98">
        <v>-103.20869999999999</v>
      </c>
      <c r="V98">
        <v>375000</v>
      </c>
      <c r="W98">
        <v>1.2616000000000001</v>
      </c>
    </row>
    <row r="99" spans="1:23" x14ac:dyDescent="0.3">
      <c r="A99">
        <v>2015</v>
      </c>
      <c r="B99" t="s">
        <v>35</v>
      </c>
      <c r="C99" t="s">
        <v>36</v>
      </c>
      <c r="D99">
        <v>101.08</v>
      </c>
      <c r="E99">
        <v>25413</v>
      </c>
      <c r="F99">
        <v>9789.2000000000007</v>
      </c>
      <c r="G99">
        <v>4529.3</v>
      </c>
      <c r="H99">
        <v>4.8</v>
      </c>
      <c r="I99">
        <v>8701.2000000000007</v>
      </c>
      <c r="J99">
        <v>7087.9</v>
      </c>
      <c r="K99">
        <v>6539.1</v>
      </c>
      <c r="L99">
        <v>-1420</v>
      </c>
      <c r="M99">
        <v>735.3</v>
      </c>
      <c r="N99">
        <v>3.2684000000000002</v>
      </c>
      <c r="O99">
        <v>3.4033000000000002</v>
      </c>
      <c r="P99">
        <v>63.901899999999998</v>
      </c>
      <c r="Q99">
        <v>11.938499999999999</v>
      </c>
      <c r="R99">
        <v>14.5123</v>
      </c>
      <c r="S99">
        <v>17.822800000000001</v>
      </c>
      <c r="T99">
        <v>0.93540000000000001</v>
      </c>
      <c r="U99">
        <v>99.074799999999996</v>
      </c>
      <c r="V99">
        <v>420000</v>
      </c>
      <c r="W99">
        <v>0.1186</v>
      </c>
    </row>
    <row r="100" spans="1:23" x14ac:dyDescent="0.3">
      <c r="A100">
        <v>2014</v>
      </c>
      <c r="B100" t="s">
        <v>35</v>
      </c>
      <c r="C100" t="s">
        <v>36</v>
      </c>
      <c r="D100">
        <v>108.48</v>
      </c>
      <c r="E100">
        <v>27441.3</v>
      </c>
      <c r="F100">
        <v>10455.700000000001</v>
      </c>
      <c r="G100">
        <v>4757.8</v>
      </c>
      <c r="H100">
        <v>4.82</v>
      </c>
      <c r="I100">
        <v>9593.7009999999991</v>
      </c>
      <c r="J100">
        <v>12853.4</v>
      </c>
      <c r="K100">
        <v>6730.3</v>
      </c>
      <c r="L100">
        <v>-2304.9</v>
      </c>
      <c r="M100">
        <v>-4618.3</v>
      </c>
      <c r="N100">
        <v>1.5232000000000001</v>
      </c>
      <c r="O100">
        <v>1.1619999999999999</v>
      </c>
      <c r="P100">
        <v>37.015900000000002</v>
      </c>
      <c r="Q100">
        <v>13.900600000000001</v>
      </c>
      <c r="R100">
        <v>17.121099999999998</v>
      </c>
      <c r="S100">
        <v>17.338100000000001</v>
      </c>
      <c r="T100">
        <v>2.2100000000000002E-2</v>
      </c>
      <c r="U100">
        <v>47.0227</v>
      </c>
      <c r="V100">
        <v>420000</v>
      </c>
      <c r="W100">
        <v>1.6222000000000001</v>
      </c>
    </row>
    <row r="101" spans="1:23" x14ac:dyDescent="0.3">
      <c r="A101">
        <v>2013</v>
      </c>
      <c r="B101" t="s">
        <v>35</v>
      </c>
      <c r="C101" t="s">
        <v>36</v>
      </c>
      <c r="D101">
        <v>91.19</v>
      </c>
      <c r="E101">
        <v>28105.7</v>
      </c>
      <c r="F101">
        <v>10902.7</v>
      </c>
      <c r="G101">
        <v>5585.9</v>
      </c>
      <c r="H101">
        <v>5.55</v>
      </c>
      <c r="I101">
        <v>10349.4</v>
      </c>
      <c r="J101">
        <v>16009.7</v>
      </c>
      <c r="K101">
        <v>7120.7</v>
      </c>
      <c r="L101">
        <v>-2673.8</v>
      </c>
      <c r="M101">
        <v>-4043</v>
      </c>
      <c r="N101">
        <v>1.5931</v>
      </c>
      <c r="O101">
        <v>0.88260000000000005</v>
      </c>
      <c r="P101">
        <v>34.890700000000002</v>
      </c>
      <c r="Q101">
        <v>15.251099999999999</v>
      </c>
      <c r="R101">
        <v>18.5335</v>
      </c>
      <c r="S101">
        <v>19.874600000000001</v>
      </c>
      <c r="T101">
        <v>0.43109999999999998</v>
      </c>
      <c r="U101">
        <v>42.520400000000002</v>
      </c>
      <c r="V101">
        <v>440000</v>
      </c>
      <c r="W101">
        <v>1.4648000000000001</v>
      </c>
    </row>
    <row r="102" spans="1:23" x14ac:dyDescent="0.3">
      <c r="A102">
        <v>2012</v>
      </c>
      <c r="B102" t="s">
        <v>35</v>
      </c>
      <c r="C102" t="s">
        <v>36</v>
      </c>
      <c r="D102">
        <v>96.55</v>
      </c>
      <c r="E102">
        <v>27567</v>
      </c>
      <c r="F102">
        <v>10816.3</v>
      </c>
      <c r="G102">
        <v>5464.8</v>
      </c>
      <c r="H102">
        <v>5.36</v>
      </c>
      <c r="I102">
        <v>10093.1</v>
      </c>
      <c r="J102">
        <v>15293.6</v>
      </c>
      <c r="K102">
        <v>6966.1</v>
      </c>
      <c r="L102">
        <v>-3167.3</v>
      </c>
      <c r="M102">
        <v>-3849.8</v>
      </c>
      <c r="N102">
        <v>1.4463999999999999</v>
      </c>
      <c r="O102">
        <v>0.89139999999999997</v>
      </c>
      <c r="P102">
        <v>35.732599999999998</v>
      </c>
      <c r="Q102">
        <v>15.443199999999999</v>
      </c>
      <c r="R102">
        <v>18.892299999999999</v>
      </c>
      <c r="S102">
        <v>19.823699999999999</v>
      </c>
      <c r="T102">
        <v>-0.3911</v>
      </c>
      <c r="U102">
        <v>43.754800000000003</v>
      </c>
      <c r="V102">
        <v>440000</v>
      </c>
      <c r="W102">
        <v>2.0693000000000001</v>
      </c>
    </row>
    <row r="103" spans="1:23" x14ac:dyDescent="0.3">
      <c r="A103">
        <v>2011</v>
      </c>
      <c r="B103" t="s">
        <v>35</v>
      </c>
      <c r="C103" t="s">
        <v>36</v>
      </c>
      <c r="D103">
        <v>88.56</v>
      </c>
      <c r="E103">
        <v>27006</v>
      </c>
      <c r="F103">
        <v>10686.6</v>
      </c>
      <c r="G103">
        <v>5503.1</v>
      </c>
      <c r="H103">
        <v>5.27</v>
      </c>
      <c r="I103">
        <v>9944.7009999999991</v>
      </c>
      <c r="J103">
        <v>14390.2</v>
      </c>
      <c r="K103">
        <v>7150.1</v>
      </c>
      <c r="L103">
        <v>-2570.9</v>
      </c>
      <c r="M103">
        <v>-4533</v>
      </c>
      <c r="N103">
        <v>1.2546999999999999</v>
      </c>
      <c r="O103">
        <v>0.86870000000000003</v>
      </c>
      <c r="P103">
        <v>38.241999999999997</v>
      </c>
      <c r="Q103">
        <v>16.6812</v>
      </c>
      <c r="R103">
        <v>20.747599999999998</v>
      </c>
      <c r="S103">
        <v>20.377300000000002</v>
      </c>
      <c r="T103">
        <v>0.33689999999999998</v>
      </c>
      <c r="U103">
        <v>46.886800000000001</v>
      </c>
      <c r="V103">
        <v>420000</v>
      </c>
      <c r="W103">
        <v>3.1568000000000001</v>
      </c>
    </row>
    <row r="104" spans="1:23" x14ac:dyDescent="0.3">
      <c r="A104">
        <v>2010</v>
      </c>
      <c r="B104" t="s">
        <v>35</v>
      </c>
      <c r="C104" t="s">
        <v>36</v>
      </c>
      <c r="D104">
        <v>102.66</v>
      </c>
      <c r="E104">
        <v>24074.6</v>
      </c>
      <c r="F104">
        <v>9637.2999999999993</v>
      </c>
      <c r="G104">
        <v>4946.3</v>
      </c>
      <c r="H104">
        <v>4.58</v>
      </c>
      <c r="I104">
        <v>8749.2999999999993</v>
      </c>
      <c r="J104">
        <v>14634.2</v>
      </c>
      <c r="K104">
        <v>6341.6</v>
      </c>
      <c r="L104">
        <v>-2056</v>
      </c>
      <c r="M104">
        <v>-3728.7</v>
      </c>
      <c r="N104">
        <v>1.4937</v>
      </c>
      <c r="O104">
        <v>0.78620000000000001</v>
      </c>
      <c r="P104">
        <v>33.799599999999998</v>
      </c>
      <c r="Q104">
        <v>15.469200000000001</v>
      </c>
      <c r="R104">
        <v>18.928699999999999</v>
      </c>
      <c r="S104">
        <v>20.5457</v>
      </c>
      <c r="T104">
        <v>0.46300000000000002</v>
      </c>
      <c r="U104">
        <v>41.054600000000001</v>
      </c>
      <c r="V104">
        <v>400000</v>
      </c>
      <c r="W104">
        <v>1.64</v>
      </c>
    </row>
    <row r="105" spans="1:23" x14ac:dyDescent="0.3">
      <c r="A105">
        <v>2009</v>
      </c>
      <c r="B105" t="s">
        <v>35</v>
      </c>
      <c r="C105" t="s">
        <v>36</v>
      </c>
      <c r="D105">
        <v>81.099999999999994</v>
      </c>
      <c r="E105">
        <v>22744.7</v>
      </c>
      <c r="F105">
        <v>8791.7999999999993</v>
      </c>
      <c r="G105">
        <v>4551</v>
      </c>
      <c r="H105">
        <v>4.1100000000000003</v>
      </c>
      <c r="I105">
        <v>8057.2</v>
      </c>
      <c r="J105">
        <v>14033.9</v>
      </c>
      <c r="K105">
        <v>5751</v>
      </c>
      <c r="L105">
        <v>-1655.3</v>
      </c>
      <c r="M105">
        <v>-4421</v>
      </c>
      <c r="N105">
        <v>1.1431</v>
      </c>
      <c r="O105">
        <v>0.75380000000000003</v>
      </c>
      <c r="P105">
        <v>32.428600000000003</v>
      </c>
      <c r="Q105">
        <v>15.0571</v>
      </c>
      <c r="R105">
        <v>18.5044</v>
      </c>
      <c r="S105">
        <v>20.0091</v>
      </c>
      <c r="T105">
        <v>3.4304999999999999</v>
      </c>
      <c r="U105">
        <v>39.203400000000002</v>
      </c>
      <c r="V105">
        <v>385000</v>
      </c>
      <c r="W105">
        <v>-0.35549999999999998</v>
      </c>
    </row>
    <row r="106" spans="1:23" x14ac:dyDescent="0.3">
      <c r="A106">
        <v>2022</v>
      </c>
      <c r="B106" t="s">
        <v>37</v>
      </c>
      <c r="C106" t="s">
        <v>38</v>
      </c>
      <c r="D106">
        <v>32.53</v>
      </c>
      <c r="E106">
        <v>30868.080000000002</v>
      </c>
      <c r="F106">
        <v>30868.080000000002</v>
      </c>
      <c r="G106">
        <v>6212.9489999999996</v>
      </c>
      <c r="H106">
        <v>1.4743999999999999</v>
      </c>
      <c r="I106">
        <v>1</v>
      </c>
      <c r="J106">
        <v>85667.7</v>
      </c>
      <c r="K106">
        <v>37392.720000000001</v>
      </c>
      <c r="L106">
        <v>-26807.33</v>
      </c>
      <c r="M106">
        <v>860.88239999999996</v>
      </c>
      <c r="N106">
        <v>1</v>
      </c>
      <c r="O106">
        <v>7.1601999999999997</v>
      </c>
      <c r="P106">
        <v>8.6240000000000006</v>
      </c>
      <c r="Q106">
        <v>0.39460000000000001</v>
      </c>
      <c r="R106">
        <v>1.284</v>
      </c>
      <c r="S106">
        <v>21.161999999999999</v>
      </c>
      <c r="T106">
        <v>-6.5476999999999999</v>
      </c>
      <c r="U106">
        <v>9.7883999999999993</v>
      </c>
      <c r="V106">
        <v>87400</v>
      </c>
      <c r="W106">
        <v>8.0028000000000006</v>
      </c>
    </row>
    <row r="107" spans="1:23" x14ac:dyDescent="0.3">
      <c r="A107">
        <v>2021</v>
      </c>
      <c r="B107" t="s">
        <v>37</v>
      </c>
      <c r="C107" t="s">
        <v>38</v>
      </c>
      <c r="D107">
        <v>43.6</v>
      </c>
      <c r="E107">
        <v>30169.69</v>
      </c>
      <c r="F107">
        <v>30169.69</v>
      </c>
      <c r="G107">
        <v>8766.2630000000008</v>
      </c>
      <c r="H107">
        <v>2.0131000000000001</v>
      </c>
      <c r="I107">
        <v>1</v>
      </c>
      <c r="J107">
        <v>96547.15</v>
      </c>
      <c r="K107">
        <v>67268.52</v>
      </c>
      <c r="L107">
        <v>5871.6769999999997</v>
      </c>
      <c r="M107">
        <v>147.13570000000001</v>
      </c>
      <c r="N107">
        <v>1</v>
      </c>
      <c r="O107">
        <v>6.3395999999999999</v>
      </c>
      <c r="P107">
        <v>10.2918</v>
      </c>
      <c r="Q107">
        <v>0.52200000000000002</v>
      </c>
      <c r="R107">
        <v>1.6696</v>
      </c>
      <c r="S107">
        <v>28.216699999999999</v>
      </c>
      <c r="T107">
        <v>-1.4282999999999999</v>
      </c>
      <c r="U107">
        <v>11.6267</v>
      </c>
      <c r="V107">
        <v>81600</v>
      </c>
      <c r="W107">
        <v>4.6978999999999997</v>
      </c>
    </row>
    <row r="108" spans="1:23" x14ac:dyDescent="0.3">
      <c r="A108">
        <v>2020</v>
      </c>
      <c r="B108" t="s">
        <v>37</v>
      </c>
      <c r="C108" t="s">
        <v>38</v>
      </c>
      <c r="D108">
        <v>34.659999999999997</v>
      </c>
      <c r="E108">
        <v>27947.54</v>
      </c>
      <c r="F108">
        <v>27947.54</v>
      </c>
      <c r="G108">
        <v>1959.384</v>
      </c>
      <c r="H108">
        <v>0.44159999999999999</v>
      </c>
      <c r="I108">
        <v>1</v>
      </c>
      <c r="J108">
        <v>85876.479999999996</v>
      </c>
      <c r="K108">
        <v>73836.42</v>
      </c>
      <c r="L108">
        <v>-23594.78</v>
      </c>
      <c r="M108">
        <v>3507.8879999999999</v>
      </c>
      <c r="N108">
        <v>1</v>
      </c>
      <c r="O108">
        <v>6.0327000000000002</v>
      </c>
      <c r="P108">
        <v>3.6796000000000002</v>
      </c>
      <c r="Q108">
        <v>0.18240000000000001</v>
      </c>
      <c r="R108">
        <v>0.60199999999999998</v>
      </c>
      <c r="S108">
        <v>9.0146999999999995</v>
      </c>
      <c r="T108">
        <v>20.434100000000001</v>
      </c>
      <c r="U108">
        <v>4.1759000000000004</v>
      </c>
      <c r="V108">
        <v>83000</v>
      </c>
      <c r="W108">
        <v>1.2336</v>
      </c>
    </row>
    <row r="109" spans="1:23" x14ac:dyDescent="0.3">
      <c r="A109">
        <v>2019</v>
      </c>
      <c r="B109" t="s">
        <v>37</v>
      </c>
      <c r="C109" t="s">
        <v>38</v>
      </c>
      <c r="D109">
        <v>40.78</v>
      </c>
      <c r="E109">
        <v>27621.9</v>
      </c>
      <c r="F109">
        <v>27621.9</v>
      </c>
      <c r="G109">
        <v>4180.5709999999999</v>
      </c>
      <c r="H109">
        <v>0.72</v>
      </c>
      <c r="I109">
        <v>1</v>
      </c>
      <c r="J109">
        <v>83841.259999999995</v>
      </c>
      <c r="K109">
        <v>-15699.49</v>
      </c>
      <c r="L109">
        <v>-16377.52</v>
      </c>
      <c r="M109">
        <v>881.06100000000004</v>
      </c>
      <c r="N109">
        <v>1</v>
      </c>
      <c r="O109">
        <v>5.3348000000000004</v>
      </c>
      <c r="P109">
        <v>5.1081000000000003</v>
      </c>
      <c r="Q109">
        <v>0.29420000000000002</v>
      </c>
      <c r="R109">
        <v>0.92010000000000003</v>
      </c>
      <c r="S109">
        <v>16.602399999999999</v>
      </c>
      <c r="T109">
        <v>-6.2895000000000003</v>
      </c>
      <c r="U109">
        <v>5.8289</v>
      </c>
      <c r="V109">
        <v>80800</v>
      </c>
      <c r="W109">
        <v>1.8122</v>
      </c>
    </row>
    <row r="110" spans="1:23" x14ac:dyDescent="0.3">
      <c r="A110">
        <v>2018</v>
      </c>
      <c r="B110" t="s">
        <v>37</v>
      </c>
      <c r="C110" t="s">
        <v>38</v>
      </c>
      <c r="D110">
        <v>31.68</v>
      </c>
      <c r="E110">
        <v>28212.33</v>
      </c>
      <c r="F110">
        <v>28212.33</v>
      </c>
      <c r="G110">
        <v>1860.711</v>
      </c>
      <c r="H110">
        <v>0.49120000000000003</v>
      </c>
      <c r="I110">
        <v>1</v>
      </c>
      <c r="J110">
        <v>85132.21</v>
      </c>
      <c r="K110">
        <v>11351.14</v>
      </c>
      <c r="L110">
        <v>903.65959999999995</v>
      </c>
      <c r="M110">
        <v>-9059.2880000000005</v>
      </c>
      <c r="N110">
        <v>1</v>
      </c>
      <c r="O110">
        <v>5.8975</v>
      </c>
      <c r="P110">
        <v>3.7191000000000001</v>
      </c>
      <c r="Q110">
        <v>0.20930000000000001</v>
      </c>
      <c r="R110">
        <v>0.61860000000000004</v>
      </c>
      <c r="S110">
        <v>7.0876999999999999</v>
      </c>
      <c r="T110">
        <v>-15.571199999999999</v>
      </c>
      <c r="U110">
        <v>4.2504</v>
      </c>
      <c r="V110">
        <v>83500</v>
      </c>
      <c r="W110">
        <v>2.4426000000000001</v>
      </c>
    </row>
    <row r="111" spans="1:23" x14ac:dyDescent="0.3">
      <c r="A111">
        <v>2017</v>
      </c>
      <c r="B111" t="s">
        <v>37</v>
      </c>
      <c r="C111" t="s">
        <v>38</v>
      </c>
      <c r="D111">
        <v>45.79</v>
      </c>
      <c r="E111">
        <v>27162.75</v>
      </c>
      <c r="F111">
        <v>27162.75</v>
      </c>
      <c r="G111">
        <v>-2477.0729999999999</v>
      </c>
      <c r="H111">
        <v>-0.57299999999999995</v>
      </c>
      <c r="I111">
        <v>1</v>
      </c>
      <c r="J111">
        <v>85081.42</v>
      </c>
      <c r="K111">
        <v>78244.34</v>
      </c>
      <c r="L111">
        <v>4513.3770000000004</v>
      </c>
      <c r="M111">
        <v>1238.537</v>
      </c>
      <c r="N111">
        <v>1</v>
      </c>
      <c r="O111">
        <v>5.2797000000000001</v>
      </c>
      <c r="P111">
        <v>1.9706999999999999</v>
      </c>
      <c r="Q111">
        <v>0.1148</v>
      </c>
      <c r="R111">
        <v>0.38619999999999999</v>
      </c>
      <c r="S111">
        <v>-10.2561</v>
      </c>
      <c r="T111">
        <v>14.5974</v>
      </c>
      <c r="U111">
        <v>2.2366999999999999</v>
      </c>
      <c r="V111">
        <v>79900</v>
      </c>
      <c r="W111">
        <v>2.1301000000000001</v>
      </c>
    </row>
    <row r="112" spans="1:23" x14ac:dyDescent="0.3">
      <c r="A112">
        <v>2016</v>
      </c>
      <c r="B112" t="s">
        <v>37</v>
      </c>
      <c r="C112" t="s">
        <v>38</v>
      </c>
      <c r="D112">
        <v>46.21</v>
      </c>
      <c r="E112">
        <v>29072.54</v>
      </c>
      <c r="F112">
        <v>29072.54</v>
      </c>
      <c r="G112">
        <v>2373.13</v>
      </c>
      <c r="H112">
        <v>0.55840000000000001</v>
      </c>
      <c r="I112">
        <v>1</v>
      </c>
      <c r="J112">
        <v>96720.98</v>
      </c>
      <c r="K112">
        <v>15295.92</v>
      </c>
      <c r="L112">
        <v>49749</v>
      </c>
      <c r="M112">
        <v>-1784.93</v>
      </c>
      <c r="N112">
        <v>1</v>
      </c>
      <c r="O112">
        <v>3.5002</v>
      </c>
      <c r="P112">
        <v>3.1345999999999998</v>
      </c>
      <c r="Q112">
        <v>0.18440000000000001</v>
      </c>
      <c r="R112">
        <v>0.8387</v>
      </c>
      <c r="S112">
        <v>9.1781000000000006</v>
      </c>
      <c r="T112">
        <v>-2.4382000000000001</v>
      </c>
      <c r="U112">
        <v>3.5150999999999999</v>
      </c>
      <c r="V112">
        <v>119300</v>
      </c>
      <c r="W112">
        <v>1.2616000000000001</v>
      </c>
    </row>
    <row r="113" spans="1:23" x14ac:dyDescent="0.3">
      <c r="A113">
        <v>2015</v>
      </c>
      <c r="B113" t="s">
        <v>37</v>
      </c>
      <c r="C113" t="s">
        <v>38</v>
      </c>
      <c r="D113">
        <v>53.45</v>
      </c>
      <c r="E113">
        <v>38919.160000000003</v>
      </c>
      <c r="F113">
        <v>38919.160000000003</v>
      </c>
      <c r="G113">
        <v>-495.39600000000002</v>
      </c>
      <c r="H113">
        <v>-0.1162</v>
      </c>
      <c r="I113">
        <v>1</v>
      </c>
      <c r="J113">
        <v>100706.1</v>
      </c>
      <c r="K113">
        <v>24659.71</v>
      </c>
      <c r="L113">
        <v>-12895.59</v>
      </c>
      <c r="M113">
        <v>-674.28899999999999</v>
      </c>
      <c r="N113">
        <v>1</v>
      </c>
      <c r="O113">
        <v>3.6646000000000001</v>
      </c>
      <c r="P113">
        <v>0.94589999999999996</v>
      </c>
      <c r="Q113">
        <v>5.5599999999999997E-2</v>
      </c>
      <c r="R113">
        <v>0.251</v>
      </c>
      <c r="S113">
        <v>-1.3882000000000001</v>
      </c>
      <c r="T113">
        <v>9.9995999999999992</v>
      </c>
      <c r="U113">
        <v>1.0808</v>
      </c>
      <c r="V113">
        <v>129400</v>
      </c>
      <c r="W113">
        <v>0.1186</v>
      </c>
    </row>
    <row r="114" spans="1:23" x14ac:dyDescent="0.3">
      <c r="A114">
        <v>2014</v>
      </c>
      <c r="B114" t="s">
        <v>37</v>
      </c>
      <c r="C114" t="s">
        <v>38</v>
      </c>
      <c r="D114">
        <v>60.47</v>
      </c>
      <c r="E114">
        <v>41677.15</v>
      </c>
      <c r="F114">
        <v>41677.15</v>
      </c>
      <c r="G114">
        <v>-197.77160000000001</v>
      </c>
      <c r="H114">
        <v>-4.5999999999999999E-2</v>
      </c>
      <c r="I114">
        <v>1</v>
      </c>
      <c r="J114">
        <v>108705.4</v>
      </c>
      <c r="K114">
        <v>-17207.810000000001</v>
      </c>
      <c r="L114">
        <v>17560.509999999998</v>
      </c>
      <c r="M114">
        <v>-5039.8900000000003</v>
      </c>
      <c r="N114">
        <v>1</v>
      </c>
      <c r="O114">
        <v>5.0612000000000004</v>
      </c>
      <c r="P114">
        <v>1.2810999999999999</v>
      </c>
      <c r="Q114">
        <v>6.2199999999999998E-2</v>
      </c>
      <c r="R114">
        <v>0.36709999999999998</v>
      </c>
      <c r="S114">
        <v>-0.51900000000000002</v>
      </c>
      <c r="T114">
        <v>6.6557000000000004</v>
      </c>
      <c r="U114">
        <v>1.4624999999999999</v>
      </c>
      <c r="V114">
        <v>132300</v>
      </c>
      <c r="W114">
        <v>1.6222000000000001</v>
      </c>
    </row>
    <row r="115" spans="1:23" x14ac:dyDescent="0.3">
      <c r="A115">
        <v>2013</v>
      </c>
      <c r="B115" t="s">
        <v>37</v>
      </c>
      <c r="C115" t="s">
        <v>38</v>
      </c>
      <c r="D115">
        <v>55.49</v>
      </c>
      <c r="E115">
        <v>43712.69</v>
      </c>
      <c r="F115">
        <v>43712.69</v>
      </c>
      <c r="G115">
        <v>846.55679999999995</v>
      </c>
      <c r="H115">
        <v>0.23200000000000001</v>
      </c>
      <c r="I115">
        <v>1</v>
      </c>
      <c r="J115">
        <v>100067.4</v>
      </c>
      <c r="K115">
        <v>-39392.269999999997</v>
      </c>
      <c r="L115">
        <v>-35434.89</v>
      </c>
      <c r="M115">
        <v>9247.9680000000008</v>
      </c>
      <c r="N115">
        <v>1</v>
      </c>
      <c r="O115">
        <v>6.6208</v>
      </c>
      <c r="P115">
        <v>2.0282</v>
      </c>
      <c r="Q115">
        <v>9.8799999999999999E-2</v>
      </c>
      <c r="R115">
        <v>0.54700000000000004</v>
      </c>
      <c r="S115">
        <v>2.1758000000000002</v>
      </c>
      <c r="T115">
        <v>-3.8584999999999998</v>
      </c>
      <c r="U115">
        <v>2.3052000000000001</v>
      </c>
      <c r="V115">
        <v>139600</v>
      </c>
      <c r="W115">
        <v>1.4648000000000001</v>
      </c>
    </row>
    <row r="116" spans="1:23" x14ac:dyDescent="0.3">
      <c r="A116">
        <v>2012</v>
      </c>
      <c r="B116" t="s">
        <v>37</v>
      </c>
      <c r="C116" t="s">
        <v>38</v>
      </c>
      <c r="D116">
        <v>52.82</v>
      </c>
      <c r="E116">
        <v>46036.06</v>
      </c>
      <c r="F116">
        <v>46036.06</v>
      </c>
      <c r="G116">
        <v>-1650.0889999999999</v>
      </c>
      <c r="H116">
        <v>-0.53900000000000003</v>
      </c>
      <c r="I116">
        <v>1</v>
      </c>
      <c r="J116">
        <v>99793.14</v>
      </c>
      <c r="K116">
        <v>-21741.23</v>
      </c>
      <c r="L116">
        <v>-11252.63</v>
      </c>
      <c r="M116">
        <v>-4504.8540000000003</v>
      </c>
      <c r="N116">
        <v>1</v>
      </c>
      <c r="O116">
        <v>7.6879999999999997</v>
      </c>
      <c r="P116">
        <v>-0.37490000000000001</v>
      </c>
      <c r="Q116">
        <v>-1.5800000000000002E-2</v>
      </c>
      <c r="R116">
        <v>-8.2900000000000001E-2</v>
      </c>
      <c r="S116">
        <v>-4.0909000000000004</v>
      </c>
      <c r="T116">
        <v>-21.998000000000001</v>
      </c>
      <c r="U116">
        <v>-0.42880000000000001</v>
      </c>
      <c r="V116">
        <v>139200</v>
      </c>
      <c r="W116">
        <v>2.0693000000000001</v>
      </c>
    </row>
    <row r="117" spans="1:23" x14ac:dyDescent="0.3">
      <c r="A117">
        <v>2011</v>
      </c>
      <c r="B117" t="s">
        <v>37</v>
      </c>
      <c r="C117" t="s">
        <v>38</v>
      </c>
      <c r="D117">
        <v>33.47</v>
      </c>
      <c r="E117">
        <v>48866.82</v>
      </c>
      <c r="F117">
        <v>48866.82</v>
      </c>
      <c r="G117">
        <v>6338.98</v>
      </c>
      <c r="H117">
        <v>1.54</v>
      </c>
      <c r="I117">
        <v>1</v>
      </c>
      <c r="J117">
        <v>104600.5</v>
      </c>
      <c r="K117">
        <v>46654.34</v>
      </c>
      <c r="L117">
        <v>-3067.61</v>
      </c>
      <c r="M117">
        <v>-9563.82</v>
      </c>
      <c r="N117">
        <v>1</v>
      </c>
      <c r="O117">
        <v>7.6044999999999998</v>
      </c>
      <c r="P117">
        <v>4.6121999999999996</v>
      </c>
      <c r="Q117">
        <v>0.1923</v>
      </c>
      <c r="R117">
        <v>1.3680000000000001</v>
      </c>
      <c r="S117">
        <v>12.235200000000001</v>
      </c>
      <c r="T117">
        <v>6.1199000000000003</v>
      </c>
      <c r="U117">
        <v>5.2431999999999999</v>
      </c>
      <c r="V117">
        <v>141100</v>
      </c>
      <c r="W117">
        <v>3.1568000000000001</v>
      </c>
    </row>
    <row r="118" spans="1:23" x14ac:dyDescent="0.3">
      <c r="A118">
        <v>2010</v>
      </c>
      <c r="B118" t="s">
        <v>37</v>
      </c>
      <c r="C118" t="s">
        <v>38</v>
      </c>
      <c r="D118">
        <v>47.13</v>
      </c>
      <c r="E118">
        <v>49030.07</v>
      </c>
      <c r="F118">
        <v>49030.07</v>
      </c>
      <c r="G118">
        <v>7034.11</v>
      </c>
      <c r="H118">
        <v>1.84</v>
      </c>
      <c r="I118">
        <v>1</v>
      </c>
      <c r="J118">
        <v>96275.73</v>
      </c>
      <c r="K118">
        <v>28894.16</v>
      </c>
      <c r="L118">
        <v>-8701.0300000000007</v>
      </c>
      <c r="M118">
        <v>245.86</v>
      </c>
      <c r="N118">
        <v>1</v>
      </c>
      <c r="O118">
        <v>9.3328000000000007</v>
      </c>
      <c r="P118">
        <v>6.0555000000000003</v>
      </c>
      <c r="Q118">
        <v>0.25309999999999999</v>
      </c>
      <c r="R118">
        <v>1.5241</v>
      </c>
      <c r="S118">
        <v>14.4688</v>
      </c>
      <c r="T118">
        <v>-12.8733</v>
      </c>
      <c r="U118">
        <v>7.0387000000000004</v>
      </c>
      <c r="V118">
        <v>147500</v>
      </c>
      <c r="W118">
        <v>1.64</v>
      </c>
    </row>
    <row r="119" spans="1:23" x14ac:dyDescent="0.3">
      <c r="A119">
        <v>2009</v>
      </c>
      <c r="B119" t="s">
        <v>37</v>
      </c>
      <c r="C119" t="s">
        <v>38</v>
      </c>
      <c r="D119">
        <v>36.840000000000003</v>
      </c>
      <c r="E119">
        <v>45992.04</v>
      </c>
      <c r="F119">
        <v>45992.04</v>
      </c>
      <c r="G119">
        <v>5497.87</v>
      </c>
      <c r="H119">
        <v>5.12</v>
      </c>
      <c r="I119">
        <v>1</v>
      </c>
      <c r="J119">
        <v>91570.7</v>
      </c>
      <c r="K119">
        <v>65523.51</v>
      </c>
      <c r="L119">
        <v>18026.64</v>
      </c>
      <c r="M119">
        <v>-1035.05</v>
      </c>
      <c r="N119">
        <v>1</v>
      </c>
      <c r="O119">
        <v>8.5152000000000001</v>
      </c>
      <c r="P119">
        <v>19.528300000000002</v>
      </c>
      <c r="Q119">
        <v>0.82820000000000005</v>
      </c>
      <c r="R119">
        <v>5.1862000000000004</v>
      </c>
      <c r="S119">
        <v>12.0558</v>
      </c>
      <c r="T119">
        <v>21.5535</v>
      </c>
      <c r="U119">
        <v>22.985099999999999</v>
      </c>
      <c r="V119">
        <v>144200</v>
      </c>
      <c r="W119">
        <v>-0.35549999999999998</v>
      </c>
    </row>
    <row r="120" spans="1:23" x14ac:dyDescent="0.3">
      <c r="A120">
        <v>2023</v>
      </c>
      <c r="B120" t="s">
        <v>39</v>
      </c>
      <c r="C120" t="s">
        <v>40</v>
      </c>
      <c r="D120">
        <v>1000.35</v>
      </c>
      <c r="E120">
        <v>26974</v>
      </c>
      <c r="F120">
        <v>15356</v>
      </c>
      <c r="G120">
        <v>4368</v>
      </c>
      <c r="H120">
        <v>1.74</v>
      </c>
      <c r="I120">
        <v>5768</v>
      </c>
      <c r="J120">
        <v>22101</v>
      </c>
      <c r="K120">
        <v>5641</v>
      </c>
      <c r="L120">
        <v>7375</v>
      </c>
      <c r="M120">
        <v>-11617</v>
      </c>
      <c r="N120">
        <v>3.5156000000000001</v>
      </c>
      <c r="O120">
        <v>0.49559999999999998</v>
      </c>
      <c r="P120">
        <v>19.7638</v>
      </c>
      <c r="Q120">
        <v>10.6066</v>
      </c>
      <c r="R120">
        <v>13.7341</v>
      </c>
      <c r="S120">
        <v>16.1934</v>
      </c>
      <c r="T120">
        <v>-1.6890000000000001</v>
      </c>
      <c r="U120">
        <v>27.209900000000001</v>
      </c>
      <c r="V120">
        <v>26196</v>
      </c>
      <c r="W120">
        <v>3.7</v>
      </c>
    </row>
    <row r="121" spans="1:23" x14ac:dyDescent="0.3">
      <c r="A121">
        <v>2022</v>
      </c>
      <c r="B121" t="s">
        <v>39</v>
      </c>
      <c r="C121" t="s">
        <v>40</v>
      </c>
      <c r="D121">
        <v>359.5</v>
      </c>
      <c r="E121">
        <v>26914</v>
      </c>
      <c r="F121">
        <v>17475</v>
      </c>
      <c r="G121">
        <v>9752</v>
      </c>
      <c r="H121">
        <v>3.85</v>
      </c>
      <c r="I121">
        <v>11215</v>
      </c>
      <c r="J121">
        <v>26612</v>
      </c>
      <c r="K121">
        <v>9108</v>
      </c>
      <c r="L121">
        <v>-9830</v>
      </c>
      <c r="M121">
        <v>1865</v>
      </c>
      <c r="N121">
        <v>6.6502999999999997</v>
      </c>
      <c r="O121">
        <v>0.4113</v>
      </c>
      <c r="P121">
        <v>36.645099999999999</v>
      </c>
      <c r="Q121">
        <v>22.069800000000001</v>
      </c>
      <c r="R121">
        <v>25.965199999999999</v>
      </c>
      <c r="S121">
        <v>36.233899999999998</v>
      </c>
      <c r="T121">
        <v>1.3378000000000001</v>
      </c>
      <c r="U121">
        <v>48.945999999999998</v>
      </c>
      <c r="V121">
        <v>22473</v>
      </c>
      <c r="W121">
        <v>8.0028000000000006</v>
      </c>
    </row>
    <row r="122" spans="1:23" x14ac:dyDescent="0.3">
      <c r="A122">
        <v>2021</v>
      </c>
      <c r="B122" t="s">
        <v>39</v>
      </c>
      <c r="C122" t="s">
        <v>40</v>
      </c>
      <c r="D122">
        <v>735.86</v>
      </c>
      <c r="E122">
        <v>16675</v>
      </c>
      <c r="F122">
        <v>10396</v>
      </c>
      <c r="G122">
        <v>4332</v>
      </c>
      <c r="H122">
        <v>1.73</v>
      </c>
      <c r="I122">
        <v>5630</v>
      </c>
      <c r="J122">
        <v>16893</v>
      </c>
      <c r="K122">
        <v>5822</v>
      </c>
      <c r="L122">
        <v>-19675</v>
      </c>
      <c r="M122">
        <v>3804</v>
      </c>
      <c r="N122">
        <v>4.0903999999999998</v>
      </c>
      <c r="O122">
        <v>0.41220000000000001</v>
      </c>
      <c r="P122">
        <v>25.643799999999999</v>
      </c>
      <c r="Q122">
        <v>15.0464</v>
      </c>
      <c r="R122">
        <v>18.9526</v>
      </c>
      <c r="S122">
        <v>25.978999999999999</v>
      </c>
      <c r="T122">
        <v>0.1419</v>
      </c>
      <c r="U122">
        <v>43.480899999999998</v>
      </c>
      <c r="V122">
        <v>18975</v>
      </c>
      <c r="W122">
        <v>4.6978999999999997</v>
      </c>
    </row>
    <row r="123" spans="1:23" x14ac:dyDescent="0.3">
      <c r="A123">
        <v>2020</v>
      </c>
      <c r="B123" t="s">
        <v>39</v>
      </c>
      <c r="C123" t="s">
        <v>40</v>
      </c>
      <c r="D123">
        <v>323.24</v>
      </c>
      <c r="E123">
        <v>10918</v>
      </c>
      <c r="F123">
        <v>6768</v>
      </c>
      <c r="G123">
        <v>2796</v>
      </c>
      <c r="H123">
        <v>1.1299999999999999</v>
      </c>
      <c r="I123">
        <v>3227</v>
      </c>
      <c r="J123">
        <v>12204</v>
      </c>
      <c r="K123">
        <v>4761</v>
      </c>
      <c r="L123">
        <v>6145</v>
      </c>
      <c r="M123">
        <v>-792</v>
      </c>
      <c r="N123">
        <v>7.6738</v>
      </c>
      <c r="O123">
        <v>0.16309999999999999</v>
      </c>
      <c r="P123">
        <v>22.910499999999999</v>
      </c>
      <c r="Q123">
        <v>16.1479</v>
      </c>
      <c r="R123">
        <v>19.697099999999999</v>
      </c>
      <c r="S123">
        <v>25.609100000000002</v>
      </c>
      <c r="T123">
        <v>0.47099999999999997</v>
      </c>
      <c r="U123">
        <v>24.235099999999999</v>
      </c>
      <c r="V123">
        <v>13775</v>
      </c>
      <c r="W123">
        <v>1.2336</v>
      </c>
    </row>
    <row r="124" spans="1:23" x14ac:dyDescent="0.3">
      <c r="A124">
        <v>2019</v>
      </c>
      <c r="B124" t="s">
        <v>39</v>
      </c>
      <c r="C124" t="s">
        <v>40</v>
      </c>
      <c r="D124">
        <v>144</v>
      </c>
      <c r="E124">
        <v>11716</v>
      </c>
      <c r="F124">
        <v>7171</v>
      </c>
      <c r="G124">
        <v>4141</v>
      </c>
      <c r="H124">
        <v>1.6575</v>
      </c>
      <c r="I124">
        <v>4066</v>
      </c>
      <c r="J124">
        <v>9342</v>
      </c>
      <c r="K124">
        <v>3743</v>
      </c>
      <c r="L124">
        <v>-4097</v>
      </c>
      <c r="M124">
        <v>-2866</v>
      </c>
      <c r="N124">
        <v>7.9436</v>
      </c>
      <c r="O124">
        <v>0.21279999999999999</v>
      </c>
      <c r="P124">
        <v>44.326700000000002</v>
      </c>
      <c r="Q124">
        <v>31.1541</v>
      </c>
      <c r="R124">
        <v>36.548999999999999</v>
      </c>
      <c r="S124">
        <v>35.344799999999999</v>
      </c>
      <c r="T124">
        <v>0.1057</v>
      </c>
      <c r="U124">
        <v>47.712899999999998</v>
      </c>
      <c r="V124">
        <v>13277</v>
      </c>
      <c r="W124">
        <v>1.8122</v>
      </c>
    </row>
    <row r="125" spans="1:23" x14ac:dyDescent="0.3">
      <c r="A125">
        <v>2018</v>
      </c>
      <c r="B125" t="s">
        <v>39</v>
      </c>
      <c r="C125" t="s">
        <v>40</v>
      </c>
      <c r="D125">
        <v>81.44</v>
      </c>
      <c r="E125">
        <v>9714</v>
      </c>
      <c r="F125">
        <v>5822</v>
      </c>
      <c r="G125">
        <v>3047</v>
      </c>
      <c r="H125">
        <v>1.2050000000000001</v>
      </c>
      <c r="I125">
        <v>3409</v>
      </c>
      <c r="J125">
        <v>7471</v>
      </c>
      <c r="K125">
        <v>3502</v>
      </c>
      <c r="L125">
        <v>1278</v>
      </c>
      <c r="M125">
        <v>-2544</v>
      </c>
      <c r="N125">
        <v>8.0268999999999995</v>
      </c>
      <c r="O125">
        <v>0.26769999999999999</v>
      </c>
      <c r="P125">
        <v>40.784399999999998</v>
      </c>
      <c r="Q125">
        <v>27.106100000000001</v>
      </c>
      <c r="R125">
        <v>32.222900000000003</v>
      </c>
      <c r="S125">
        <v>31.367100000000001</v>
      </c>
      <c r="T125">
        <v>0.57250000000000001</v>
      </c>
      <c r="U125">
        <v>44.802199999999999</v>
      </c>
      <c r="V125">
        <v>11528</v>
      </c>
      <c r="W125">
        <v>2.4426000000000001</v>
      </c>
    </row>
    <row r="126" spans="1:23" x14ac:dyDescent="0.3">
      <c r="A126">
        <v>2017</v>
      </c>
      <c r="B126" t="s">
        <v>39</v>
      </c>
      <c r="C126" t="s">
        <v>40</v>
      </c>
      <c r="D126">
        <v>117.26</v>
      </c>
      <c r="E126">
        <v>6910</v>
      </c>
      <c r="F126">
        <v>4063</v>
      </c>
      <c r="G126">
        <v>1666</v>
      </c>
      <c r="H126">
        <v>0.64249999999999996</v>
      </c>
      <c r="I126">
        <v>2121</v>
      </c>
      <c r="J126">
        <v>5762</v>
      </c>
      <c r="K126">
        <v>1672</v>
      </c>
      <c r="L126">
        <v>-793</v>
      </c>
      <c r="M126">
        <v>291</v>
      </c>
      <c r="N126">
        <v>4.774</v>
      </c>
      <c r="O126">
        <v>0.48770000000000002</v>
      </c>
      <c r="P126">
        <v>28.913599999999999</v>
      </c>
      <c r="Q126">
        <v>16.929200000000002</v>
      </c>
      <c r="R126">
        <v>21.424900000000001</v>
      </c>
      <c r="S126">
        <v>24.11</v>
      </c>
      <c r="T126">
        <v>9.7500000000000003E-2</v>
      </c>
      <c r="U126">
        <v>33.055599999999998</v>
      </c>
      <c r="V126">
        <v>10299</v>
      </c>
      <c r="W126">
        <v>2.1301000000000001</v>
      </c>
    </row>
    <row r="127" spans="1:23" x14ac:dyDescent="0.3">
      <c r="A127">
        <v>2016</v>
      </c>
      <c r="B127" t="s">
        <v>39</v>
      </c>
      <c r="C127" t="s">
        <v>40</v>
      </c>
      <c r="D127">
        <v>57.53</v>
      </c>
      <c r="E127">
        <v>5010</v>
      </c>
      <c r="F127">
        <v>2811</v>
      </c>
      <c r="G127">
        <v>614</v>
      </c>
      <c r="H127">
        <v>0.27</v>
      </c>
      <c r="I127">
        <v>973</v>
      </c>
      <c r="J127">
        <v>4469</v>
      </c>
      <c r="K127">
        <v>1175</v>
      </c>
      <c r="L127">
        <v>-400</v>
      </c>
      <c r="M127">
        <v>-676</v>
      </c>
      <c r="N127">
        <v>2.5746000000000002</v>
      </c>
      <c r="O127">
        <v>0.33789999999999998</v>
      </c>
      <c r="P127">
        <v>13.739100000000001</v>
      </c>
      <c r="Q127">
        <v>8.3310999999999993</v>
      </c>
      <c r="R127">
        <v>13.4472</v>
      </c>
      <c r="S127">
        <v>12.2555</v>
      </c>
      <c r="T127">
        <v>0.124</v>
      </c>
      <c r="U127">
        <v>16.662099999999999</v>
      </c>
      <c r="V127">
        <v>9227</v>
      </c>
      <c r="W127">
        <v>1.2616000000000001</v>
      </c>
    </row>
    <row r="128" spans="1:23" x14ac:dyDescent="0.3">
      <c r="A128">
        <v>2015</v>
      </c>
      <c r="B128" t="s">
        <v>39</v>
      </c>
      <c r="C128" t="s">
        <v>40</v>
      </c>
      <c r="D128">
        <v>17.73</v>
      </c>
      <c r="E128">
        <v>4682</v>
      </c>
      <c r="F128">
        <v>2599</v>
      </c>
      <c r="G128">
        <v>631</v>
      </c>
      <c r="H128">
        <v>0.28000000000000003</v>
      </c>
      <c r="I128">
        <v>1007</v>
      </c>
      <c r="J128">
        <v>4418</v>
      </c>
      <c r="K128">
        <v>906</v>
      </c>
      <c r="L128">
        <v>-727</v>
      </c>
      <c r="M128">
        <v>-834</v>
      </c>
      <c r="N128">
        <v>6.3761000000000001</v>
      </c>
      <c r="O128">
        <v>0.31640000000000001</v>
      </c>
      <c r="P128">
        <v>14.282500000000001</v>
      </c>
      <c r="Q128">
        <v>8.7627000000000006</v>
      </c>
      <c r="R128">
        <v>10.849399999999999</v>
      </c>
      <c r="S128">
        <v>13.4772</v>
      </c>
      <c r="T128">
        <v>0.1033</v>
      </c>
      <c r="U128">
        <v>17.6356</v>
      </c>
      <c r="V128">
        <v>9228</v>
      </c>
      <c r="W128">
        <v>0.1186</v>
      </c>
    </row>
    <row r="129" spans="1:23" x14ac:dyDescent="0.3">
      <c r="A129">
        <v>2014</v>
      </c>
      <c r="B129" t="s">
        <v>39</v>
      </c>
      <c r="C129" t="s">
        <v>40</v>
      </c>
      <c r="D129">
        <v>10.9</v>
      </c>
      <c r="E129">
        <v>4130</v>
      </c>
      <c r="F129">
        <v>2268</v>
      </c>
      <c r="G129">
        <v>440</v>
      </c>
      <c r="H129">
        <v>0.185</v>
      </c>
      <c r="I129">
        <v>740</v>
      </c>
      <c r="J129">
        <v>4456.3980000000001</v>
      </c>
      <c r="K129">
        <v>835</v>
      </c>
      <c r="L129">
        <v>-806</v>
      </c>
      <c r="M129">
        <v>390</v>
      </c>
      <c r="N129">
        <v>5.9489999999999998</v>
      </c>
      <c r="O129">
        <v>0.30830000000000002</v>
      </c>
      <c r="P129">
        <v>9.8734000000000002</v>
      </c>
      <c r="Q129">
        <v>6.0682</v>
      </c>
      <c r="R129">
        <v>7.5468000000000002</v>
      </c>
      <c r="S129">
        <v>10.6538</v>
      </c>
      <c r="T129">
        <v>-2.2000000000000001E-3</v>
      </c>
      <c r="U129">
        <v>12.5099</v>
      </c>
      <c r="V129">
        <v>8808</v>
      </c>
      <c r="W129">
        <v>1.6222000000000001</v>
      </c>
    </row>
    <row r="130" spans="1:23" x14ac:dyDescent="0.3">
      <c r="A130">
        <v>2013</v>
      </c>
      <c r="B130" t="s">
        <v>39</v>
      </c>
      <c r="C130" t="s">
        <v>40</v>
      </c>
      <c r="D130">
        <v>9.11</v>
      </c>
      <c r="E130">
        <v>4280.1589999999997</v>
      </c>
      <c r="F130">
        <v>2226.3429999999998</v>
      </c>
      <c r="G130">
        <v>562.53599999999994</v>
      </c>
      <c r="H130">
        <v>0.22500000000000001</v>
      </c>
      <c r="I130">
        <v>874.4742</v>
      </c>
      <c r="J130">
        <v>4827.7030000000004</v>
      </c>
      <c r="K130">
        <v>824.17200000000003</v>
      </c>
      <c r="L130">
        <v>-743.99199999999996</v>
      </c>
      <c r="M130">
        <v>-15.27</v>
      </c>
      <c r="N130">
        <v>4.8916000000000004</v>
      </c>
      <c r="O130">
        <v>3.8999999999999998E-3</v>
      </c>
      <c r="P130">
        <v>11.6523</v>
      </c>
      <c r="Q130">
        <v>8.7728000000000002</v>
      </c>
      <c r="R130">
        <v>11.6066</v>
      </c>
      <c r="S130">
        <v>13.142899999999999</v>
      </c>
      <c r="T130">
        <v>-5.6099999999999997E-2</v>
      </c>
      <c r="U130">
        <v>14.519500000000001</v>
      </c>
      <c r="V130">
        <v>7974</v>
      </c>
      <c r="W130">
        <v>1.4648000000000001</v>
      </c>
    </row>
    <row r="131" spans="1:23" x14ac:dyDescent="0.3">
      <c r="A131">
        <v>2012</v>
      </c>
      <c r="B131" t="s">
        <v>39</v>
      </c>
      <c r="C131" t="s">
        <v>40</v>
      </c>
      <c r="D131">
        <v>7.66</v>
      </c>
      <c r="E131">
        <v>3997.93</v>
      </c>
      <c r="F131">
        <v>2056.5169999999998</v>
      </c>
      <c r="G131">
        <v>581.09</v>
      </c>
      <c r="H131">
        <v>0.23499999999999999</v>
      </c>
      <c r="I131">
        <v>852.50379999999996</v>
      </c>
      <c r="J131">
        <v>4145.7240000000002</v>
      </c>
      <c r="K131">
        <v>909.15599999999995</v>
      </c>
      <c r="L131">
        <v>-1143.364</v>
      </c>
      <c r="M131">
        <v>236.72300000000001</v>
      </c>
      <c r="N131">
        <v>4.1994999999999996</v>
      </c>
      <c r="O131">
        <v>5.1999999999999998E-3</v>
      </c>
      <c r="P131">
        <v>14.0166</v>
      </c>
      <c r="Q131">
        <v>10.464600000000001</v>
      </c>
      <c r="R131">
        <v>13.9445</v>
      </c>
      <c r="S131">
        <v>14.534800000000001</v>
      </c>
      <c r="T131">
        <v>6.7100000000000007E-2</v>
      </c>
      <c r="U131">
        <v>18.281600000000001</v>
      </c>
      <c r="V131">
        <v>7133</v>
      </c>
      <c r="W131">
        <v>2.0693000000000001</v>
      </c>
    </row>
    <row r="132" spans="1:23" x14ac:dyDescent="0.3">
      <c r="A132">
        <v>2011</v>
      </c>
      <c r="B132" t="s">
        <v>39</v>
      </c>
      <c r="C132" t="s">
        <v>40</v>
      </c>
      <c r="D132">
        <v>8.4600000000000009</v>
      </c>
      <c r="E132">
        <v>3543.3090000000002</v>
      </c>
      <c r="F132">
        <v>1409.09</v>
      </c>
      <c r="G132">
        <v>253.14599999999999</v>
      </c>
      <c r="H132">
        <v>0.1075</v>
      </c>
      <c r="I132">
        <v>442.73610000000002</v>
      </c>
      <c r="J132">
        <v>3181.462</v>
      </c>
      <c r="K132">
        <v>675.79700000000003</v>
      </c>
      <c r="L132">
        <v>-649.678</v>
      </c>
      <c r="M132">
        <v>192.02099999999999</v>
      </c>
      <c r="N132">
        <v>3.4232</v>
      </c>
      <c r="O132">
        <v>7.4000000000000003E-3</v>
      </c>
      <c r="P132">
        <v>7.9569000000000001</v>
      </c>
      <c r="Q132">
        <v>5.6314000000000002</v>
      </c>
      <c r="R132">
        <v>7.8987999999999996</v>
      </c>
      <c r="S132">
        <v>7.1443000000000003</v>
      </c>
      <c r="T132">
        <v>5.8799999999999998E-2</v>
      </c>
      <c r="U132">
        <v>10.034000000000001</v>
      </c>
      <c r="V132">
        <v>6029</v>
      </c>
      <c r="W132">
        <v>3.1568000000000001</v>
      </c>
    </row>
    <row r="133" spans="1:23" x14ac:dyDescent="0.3">
      <c r="A133">
        <v>2010</v>
      </c>
      <c r="B133" t="s">
        <v>39</v>
      </c>
      <c r="C133" t="s">
        <v>40</v>
      </c>
      <c r="D133">
        <v>8.9499999999999993</v>
      </c>
      <c r="E133">
        <v>3326.4450000000002</v>
      </c>
      <c r="F133">
        <v>1176.923</v>
      </c>
      <c r="G133">
        <v>-67.986999999999995</v>
      </c>
      <c r="H133">
        <v>-0.03</v>
      </c>
      <c r="I133">
        <v>97.718900000000005</v>
      </c>
      <c r="J133">
        <v>2665.14</v>
      </c>
      <c r="K133">
        <v>487.80700000000002</v>
      </c>
      <c r="L133">
        <v>-519.33299999999997</v>
      </c>
      <c r="M133">
        <v>61.058999999999997</v>
      </c>
      <c r="N133">
        <v>3.1627999999999998</v>
      </c>
      <c r="O133">
        <v>9.1999999999999998E-3</v>
      </c>
      <c r="P133">
        <v>-2.5510000000000002</v>
      </c>
      <c r="Q133">
        <v>-1.8958999999999999</v>
      </c>
      <c r="R133">
        <v>-2.5278</v>
      </c>
      <c r="S133">
        <v>-2.0438000000000001</v>
      </c>
      <c r="T133">
        <v>0.25879999999999997</v>
      </c>
      <c r="U133">
        <v>-3.1261000000000001</v>
      </c>
      <c r="V133">
        <v>5706</v>
      </c>
      <c r="W133">
        <v>1.64</v>
      </c>
    </row>
    <row r="134" spans="1:23" x14ac:dyDescent="0.3">
      <c r="A134">
        <v>2009</v>
      </c>
      <c r="B134" t="s">
        <v>39</v>
      </c>
      <c r="C134" t="s">
        <v>40</v>
      </c>
      <c r="D134">
        <v>10.37</v>
      </c>
      <c r="E134">
        <v>3424.8589999999999</v>
      </c>
      <c r="F134">
        <v>1174.269</v>
      </c>
      <c r="G134">
        <v>-30.041</v>
      </c>
      <c r="H134">
        <v>-1.2500000000000001E-2</v>
      </c>
      <c r="I134">
        <v>114.3228</v>
      </c>
      <c r="J134">
        <v>2394.652</v>
      </c>
      <c r="K134">
        <v>249.36</v>
      </c>
      <c r="L134">
        <v>-209.36699999999999</v>
      </c>
      <c r="M134">
        <v>-349.274</v>
      </c>
      <c r="N134">
        <v>2.7845</v>
      </c>
      <c r="O134">
        <v>1.0699999999999999E-2</v>
      </c>
      <c r="P134">
        <v>-1.2544999999999999</v>
      </c>
      <c r="Q134">
        <v>-0.89659999999999995</v>
      </c>
      <c r="R134">
        <v>-1.2412000000000001</v>
      </c>
      <c r="S134">
        <v>-0.87709999999999999</v>
      </c>
      <c r="T134">
        <v>-7.22E-2</v>
      </c>
      <c r="U134">
        <v>-1.5999000000000001</v>
      </c>
      <c r="V134">
        <v>5420</v>
      </c>
      <c r="W134">
        <v>-0.35549999999999998</v>
      </c>
    </row>
    <row r="135" spans="1:23" x14ac:dyDescent="0.3">
      <c r="A135">
        <v>2022</v>
      </c>
      <c r="B135" t="s">
        <v>41</v>
      </c>
      <c r="C135" t="s">
        <v>40</v>
      </c>
      <c r="D135">
        <v>109.08</v>
      </c>
      <c r="E135">
        <v>63054</v>
      </c>
      <c r="F135">
        <v>26866</v>
      </c>
      <c r="G135">
        <v>8014</v>
      </c>
      <c r="H135">
        <v>1.94</v>
      </c>
      <c r="I135">
        <v>15369</v>
      </c>
      <c r="J135">
        <v>103286</v>
      </c>
      <c r="K135">
        <v>15433</v>
      </c>
      <c r="L135">
        <v>-10477</v>
      </c>
      <c r="M135">
        <v>1361</v>
      </c>
      <c r="N135">
        <v>1.5676000000000001</v>
      </c>
      <c r="O135">
        <v>0.40710000000000002</v>
      </c>
      <c r="P135">
        <v>7.7618999999999998</v>
      </c>
      <c r="Q135">
        <v>4.4024999999999999</v>
      </c>
      <c r="R135">
        <v>5.6870000000000003</v>
      </c>
      <c r="S135">
        <v>12.7097</v>
      </c>
      <c r="T135">
        <v>-4.5640000000000001</v>
      </c>
      <c r="U135">
        <v>11.506</v>
      </c>
      <c r="V135">
        <v>131900</v>
      </c>
      <c r="W135">
        <v>8.0028000000000006</v>
      </c>
    </row>
    <row r="136" spans="1:23" x14ac:dyDescent="0.3">
      <c r="A136">
        <v>2021</v>
      </c>
      <c r="B136" t="s">
        <v>41</v>
      </c>
      <c r="C136" t="s">
        <v>40</v>
      </c>
      <c r="D136">
        <v>209.45</v>
      </c>
      <c r="E136">
        <v>79024</v>
      </c>
      <c r="F136">
        <v>43815</v>
      </c>
      <c r="G136">
        <v>19868</v>
      </c>
      <c r="H136">
        <v>4.8600000000000003</v>
      </c>
      <c r="I136">
        <v>31248</v>
      </c>
      <c r="J136">
        <v>95391</v>
      </c>
      <c r="K136">
        <v>29456</v>
      </c>
      <c r="L136">
        <v>-24449</v>
      </c>
      <c r="M136">
        <v>-6045</v>
      </c>
      <c r="N136">
        <v>2.1322999999999999</v>
      </c>
      <c r="O136">
        <v>0.39939999999999998</v>
      </c>
      <c r="P136">
        <v>20.827999999999999</v>
      </c>
      <c r="Q136">
        <v>11.797700000000001</v>
      </c>
      <c r="R136">
        <v>15.413399999999999</v>
      </c>
      <c r="S136">
        <v>25.1417</v>
      </c>
      <c r="T136">
        <v>-2.8277999999999999</v>
      </c>
      <c r="U136">
        <v>32.486400000000003</v>
      </c>
      <c r="V136">
        <v>121100</v>
      </c>
      <c r="W136">
        <v>4.6978999999999997</v>
      </c>
    </row>
    <row r="137" spans="1:23" x14ac:dyDescent="0.3">
      <c r="A137">
        <v>2020</v>
      </c>
      <c r="B137" t="s">
        <v>41</v>
      </c>
      <c r="C137" t="s">
        <v>40</v>
      </c>
      <c r="D137">
        <v>104.16</v>
      </c>
      <c r="E137">
        <v>77867</v>
      </c>
      <c r="F137">
        <v>43612</v>
      </c>
      <c r="G137">
        <v>20899</v>
      </c>
      <c r="H137">
        <v>4.9400000000000004</v>
      </c>
      <c r="I137">
        <v>35917</v>
      </c>
      <c r="J137">
        <v>81038</v>
      </c>
      <c r="K137">
        <v>35864</v>
      </c>
      <c r="L137">
        <v>-21524</v>
      </c>
      <c r="M137">
        <v>-12669</v>
      </c>
      <c r="N137">
        <v>1.9087000000000001</v>
      </c>
      <c r="O137">
        <v>0.44919999999999999</v>
      </c>
      <c r="P137">
        <v>25.789100000000001</v>
      </c>
      <c r="Q137">
        <v>13.651400000000001</v>
      </c>
      <c r="R137">
        <v>18.183299999999999</v>
      </c>
      <c r="S137">
        <v>26.839400000000001</v>
      </c>
      <c r="T137">
        <v>1.2739</v>
      </c>
      <c r="U137">
        <v>46.4</v>
      </c>
      <c r="V137">
        <v>110600</v>
      </c>
      <c r="W137">
        <v>1.2336</v>
      </c>
    </row>
    <row r="138" spans="1:23" x14ac:dyDescent="0.3">
      <c r="A138">
        <v>2019</v>
      </c>
      <c r="B138" t="s">
        <v>41</v>
      </c>
      <c r="C138" t="s">
        <v>40</v>
      </c>
      <c r="D138">
        <v>260.35000000000002</v>
      </c>
      <c r="E138">
        <v>71965</v>
      </c>
      <c r="F138">
        <v>42140</v>
      </c>
      <c r="G138">
        <v>21048</v>
      </c>
      <c r="H138">
        <v>4.71</v>
      </c>
      <c r="I138">
        <v>32861</v>
      </c>
      <c r="J138">
        <v>77504</v>
      </c>
      <c r="K138">
        <v>33145</v>
      </c>
      <c r="L138">
        <v>-14405</v>
      </c>
      <c r="M138">
        <v>-17565</v>
      </c>
      <c r="N138">
        <v>1.4001999999999999</v>
      </c>
      <c r="O138">
        <v>0.37419999999999998</v>
      </c>
      <c r="P138">
        <v>27.157299999999999</v>
      </c>
      <c r="Q138">
        <v>15.4171</v>
      </c>
      <c r="R138">
        <v>20.472300000000001</v>
      </c>
      <c r="S138">
        <v>29.247599999999998</v>
      </c>
      <c r="T138">
        <v>0.75390000000000001</v>
      </c>
      <c r="U138">
        <v>52.097700000000003</v>
      </c>
      <c r="V138">
        <v>110800</v>
      </c>
      <c r="W138">
        <v>1.8122</v>
      </c>
    </row>
    <row r="139" spans="1:23" x14ac:dyDescent="0.3">
      <c r="A139">
        <v>2018</v>
      </c>
      <c r="B139" t="s">
        <v>41</v>
      </c>
      <c r="C139" t="s">
        <v>40</v>
      </c>
      <c r="D139">
        <v>214.19</v>
      </c>
      <c r="E139">
        <v>70848</v>
      </c>
      <c r="F139">
        <v>43737</v>
      </c>
      <c r="G139">
        <v>21053</v>
      </c>
      <c r="H139">
        <v>4.4800000000000004</v>
      </c>
      <c r="I139">
        <v>32401</v>
      </c>
      <c r="J139">
        <v>74563</v>
      </c>
      <c r="K139">
        <v>29432</v>
      </c>
      <c r="L139">
        <v>-11239</v>
      </c>
      <c r="M139">
        <v>-18607</v>
      </c>
      <c r="N139">
        <v>1.7314000000000001</v>
      </c>
      <c r="O139">
        <v>0.35349999999999998</v>
      </c>
      <c r="P139">
        <v>28.235199999999999</v>
      </c>
      <c r="Q139">
        <v>16.452400000000001</v>
      </c>
      <c r="R139">
        <v>21.124600000000001</v>
      </c>
      <c r="S139">
        <v>29.715699999999998</v>
      </c>
      <c r="T139">
        <v>0.89459999999999995</v>
      </c>
      <c r="U139">
        <v>55.092399999999998</v>
      </c>
      <c r="V139">
        <v>107400</v>
      </c>
      <c r="W139">
        <v>2.4426000000000001</v>
      </c>
    </row>
    <row r="140" spans="1:23" x14ac:dyDescent="0.3">
      <c r="A140">
        <v>2017</v>
      </c>
      <c r="B140" t="s">
        <v>41</v>
      </c>
      <c r="C140" t="s">
        <v>40</v>
      </c>
      <c r="D140">
        <v>216.03</v>
      </c>
      <c r="E140">
        <v>62761</v>
      </c>
      <c r="F140">
        <v>39098</v>
      </c>
      <c r="G140">
        <v>9601</v>
      </c>
      <c r="H140">
        <v>1.99</v>
      </c>
      <c r="I140">
        <v>26179</v>
      </c>
      <c r="J140">
        <v>69019</v>
      </c>
      <c r="K140">
        <v>22110</v>
      </c>
      <c r="L140">
        <v>-15762</v>
      </c>
      <c r="M140">
        <v>-8475</v>
      </c>
      <c r="N140">
        <v>1.6934</v>
      </c>
      <c r="O140">
        <v>0.38850000000000001</v>
      </c>
      <c r="P140">
        <v>13.9107</v>
      </c>
      <c r="Q140">
        <v>7.7899000000000003</v>
      </c>
      <c r="R140">
        <v>10.207800000000001</v>
      </c>
      <c r="S140">
        <v>15.297700000000001</v>
      </c>
      <c r="T140">
        <v>-0.36220000000000002</v>
      </c>
      <c r="U140">
        <v>30.1113</v>
      </c>
      <c r="V140">
        <v>102700</v>
      </c>
      <c r="W140">
        <v>2.1301000000000001</v>
      </c>
    </row>
    <row r="141" spans="1:23" x14ac:dyDescent="0.3">
      <c r="A141">
        <v>2016</v>
      </c>
      <c r="B141" t="s">
        <v>41</v>
      </c>
      <c r="C141" t="s">
        <v>40</v>
      </c>
      <c r="D141">
        <v>171.88</v>
      </c>
      <c r="E141">
        <v>59387</v>
      </c>
      <c r="F141">
        <v>36233</v>
      </c>
      <c r="G141">
        <v>10316</v>
      </c>
      <c r="H141">
        <v>2.12</v>
      </c>
      <c r="I141">
        <v>20923</v>
      </c>
      <c r="J141">
        <v>66226</v>
      </c>
      <c r="K141">
        <v>21808</v>
      </c>
      <c r="L141">
        <v>-25817</v>
      </c>
      <c r="M141">
        <v>-5739</v>
      </c>
      <c r="N141">
        <v>1.7490000000000001</v>
      </c>
      <c r="O141">
        <v>0.38179999999999997</v>
      </c>
      <c r="P141">
        <v>15.577</v>
      </c>
      <c r="Q141">
        <v>9.1029</v>
      </c>
      <c r="R141">
        <v>11.874499999999999</v>
      </c>
      <c r="S141">
        <v>17.370799999999999</v>
      </c>
      <c r="T141">
        <v>0.1101</v>
      </c>
      <c r="U141">
        <v>24.197199999999999</v>
      </c>
      <c r="V141">
        <v>106000</v>
      </c>
      <c r="W141">
        <v>1.2616000000000001</v>
      </c>
    </row>
    <row r="142" spans="1:23" x14ac:dyDescent="0.3">
      <c r="A142">
        <v>2015</v>
      </c>
      <c r="B142" t="s">
        <v>41</v>
      </c>
      <c r="C142" t="s">
        <v>40</v>
      </c>
      <c r="D142">
        <v>162.57</v>
      </c>
      <c r="E142">
        <v>55355</v>
      </c>
      <c r="F142">
        <v>34679</v>
      </c>
      <c r="G142">
        <v>11420</v>
      </c>
      <c r="H142">
        <v>2.33</v>
      </c>
      <c r="I142">
        <v>22713</v>
      </c>
      <c r="J142">
        <v>61085</v>
      </c>
      <c r="K142">
        <v>19018</v>
      </c>
      <c r="L142">
        <v>-8183</v>
      </c>
      <c r="M142">
        <v>1912</v>
      </c>
      <c r="N142">
        <v>2.4491999999999998</v>
      </c>
      <c r="O142">
        <v>0.37109999999999999</v>
      </c>
      <c r="P142">
        <v>18.6953</v>
      </c>
      <c r="Q142">
        <v>11.255800000000001</v>
      </c>
      <c r="R142">
        <v>14.0777</v>
      </c>
      <c r="S142">
        <v>20.630500000000001</v>
      </c>
      <c r="T142">
        <v>0.34920000000000001</v>
      </c>
      <c r="U142">
        <v>24.9236</v>
      </c>
      <c r="V142">
        <v>107300</v>
      </c>
      <c r="W142">
        <v>0.1186</v>
      </c>
    </row>
    <row r="143" spans="1:23" x14ac:dyDescent="0.3">
      <c r="A143">
        <v>2014</v>
      </c>
      <c r="B143" t="s">
        <v>41</v>
      </c>
      <c r="C143" t="s">
        <v>40</v>
      </c>
      <c r="D143">
        <v>175.46</v>
      </c>
      <c r="E143">
        <v>55870</v>
      </c>
      <c r="F143">
        <v>35609</v>
      </c>
      <c r="G143">
        <v>11704</v>
      </c>
      <c r="H143">
        <v>2.31</v>
      </c>
      <c r="I143">
        <v>23896</v>
      </c>
      <c r="J143">
        <v>55865</v>
      </c>
      <c r="K143">
        <v>20418</v>
      </c>
      <c r="L143">
        <v>-9905</v>
      </c>
      <c r="M143">
        <v>-13611</v>
      </c>
      <c r="N143">
        <v>1.7319</v>
      </c>
      <c r="O143">
        <v>0.24440000000000001</v>
      </c>
      <c r="P143">
        <v>20.950500000000002</v>
      </c>
      <c r="Q143">
        <v>12.7356</v>
      </c>
      <c r="R143">
        <v>17.231000000000002</v>
      </c>
      <c r="S143">
        <v>20.948599999999999</v>
      </c>
      <c r="T143">
        <v>6.5100000000000005E-2</v>
      </c>
      <c r="U143">
        <v>28.857399999999998</v>
      </c>
      <c r="V143">
        <v>106700</v>
      </c>
      <c r="W143">
        <v>1.6222000000000001</v>
      </c>
    </row>
    <row r="144" spans="1:23" x14ac:dyDescent="0.3">
      <c r="A144">
        <v>2013</v>
      </c>
      <c r="B144" t="s">
        <v>41</v>
      </c>
      <c r="C144" t="s">
        <v>40</v>
      </c>
      <c r="D144">
        <v>129.02000000000001</v>
      </c>
      <c r="E144">
        <v>52708</v>
      </c>
      <c r="F144">
        <v>31521</v>
      </c>
      <c r="G144">
        <v>9620</v>
      </c>
      <c r="H144">
        <v>1.89</v>
      </c>
      <c r="I144">
        <v>20323</v>
      </c>
      <c r="J144">
        <v>58256</v>
      </c>
      <c r="K144">
        <v>20776</v>
      </c>
      <c r="L144">
        <v>-18073</v>
      </c>
      <c r="M144">
        <v>-5498</v>
      </c>
      <c r="N144">
        <v>2.3647</v>
      </c>
      <c r="O144">
        <v>0.23080000000000001</v>
      </c>
      <c r="P144">
        <v>16.513300000000001</v>
      </c>
      <c r="Q144">
        <v>10.416</v>
      </c>
      <c r="R144">
        <v>13.4694</v>
      </c>
      <c r="S144">
        <v>18.2515</v>
      </c>
      <c r="T144">
        <v>0.45200000000000001</v>
      </c>
      <c r="U144">
        <v>22.585899999999999</v>
      </c>
      <c r="V144">
        <v>107600</v>
      </c>
      <c r="W144">
        <v>1.4648000000000001</v>
      </c>
    </row>
    <row r="145" spans="1:23" x14ac:dyDescent="0.3">
      <c r="A145">
        <v>2012</v>
      </c>
      <c r="B145" t="s">
        <v>41</v>
      </c>
      <c r="C145" t="s">
        <v>40</v>
      </c>
      <c r="D145">
        <v>102.61</v>
      </c>
      <c r="E145">
        <v>53341</v>
      </c>
      <c r="F145">
        <v>33151</v>
      </c>
      <c r="G145">
        <v>11005</v>
      </c>
      <c r="H145">
        <v>2.13</v>
      </c>
      <c r="I145">
        <v>22160</v>
      </c>
      <c r="J145">
        <v>51203</v>
      </c>
      <c r="K145">
        <v>18884</v>
      </c>
      <c r="L145">
        <v>-14060</v>
      </c>
      <c r="M145">
        <v>-1408</v>
      </c>
      <c r="N145">
        <v>2.4312</v>
      </c>
      <c r="O145">
        <v>0.2626</v>
      </c>
      <c r="P145">
        <v>21.492899999999999</v>
      </c>
      <c r="Q145">
        <v>13.0467</v>
      </c>
      <c r="R145">
        <v>17.104700000000001</v>
      </c>
      <c r="S145">
        <v>20.631399999999999</v>
      </c>
      <c r="T145">
        <v>-0.36220000000000002</v>
      </c>
      <c r="U145">
        <v>31.212800000000001</v>
      </c>
      <c r="V145">
        <v>105000</v>
      </c>
      <c r="W145">
        <v>2.0693000000000001</v>
      </c>
    </row>
    <row r="146" spans="1:23" x14ac:dyDescent="0.3">
      <c r="A146">
        <v>2011</v>
      </c>
      <c r="B146" t="s">
        <v>41</v>
      </c>
      <c r="C146" t="s">
        <v>40</v>
      </c>
      <c r="D146">
        <v>123.48</v>
      </c>
      <c r="E146">
        <v>53999</v>
      </c>
      <c r="F146">
        <v>33757</v>
      </c>
      <c r="G146">
        <v>12942</v>
      </c>
      <c r="H146">
        <v>2.39</v>
      </c>
      <c r="I146">
        <v>23541</v>
      </c>
      <c r="J146">
        <v>45911</v>
      </c>
      <c r="K146">
        <v>20963</v>
      </c>
      <c r="L146">
        <v>-10301</v>
      </c>
      <c r="M146">
        <v>-11100</v>
      </c>
      <c r="N146">
        <v>2.1509999999999998</v>
      </c>
      <c r="O146">
        <v>0.15970000000000001</v>
      </c>
      <c r="P146">
        <v>28.189299999999999</v>
      </c>
      <c r="Q146">
        <v>18.197700000000001</v>
      </c>
      <c r="R146">
        <v>24.421199999999999</v>
      </c>
      <c r="S146">
        <v>23.967099999999999</v>
      </c>
      <c r="T146">
        <v>-0.13139999999999999</v>
      </c>
      <c r="U146">
        <v>42.586399999999998</v>
      </c>
      <c r="V146">
        <v>100100</v>
      </c>
      <c r="W146">
        <v>3.1568000000000001</v>
      </c>
    </row>
    <row r="147" spans="1:23" x14ac:dyDescent="0.3">
      <c r="A147">
        <v>2010</v>
      </c>
      <c r="B147" t="s">
        <v>41</v>
      </c>
      <c r="C147" t="s">
        <v>40</v>
      </c>
      <c r="D147">
        <v>117.31</v>
      </c>
      <c r="E147">
        <v>43623</v>
      </c>
      <c r="F147">
        <v>28491</v>
      </c>
      <c r="G147">
        <v>11464</v>
      </c>
      <c r="H147">
        <v>2.0099999999999998</v>
      </c>
      <c r="I147">
        <v>20226</v>
      </c>
      <c r="J147">
        <v>49430</v>
      </c>
      <c r="K147">
        <v>16692</v>
      </c>
      <c r="L147">
        <v>-10539</v>
      </c>
      <c r="M147">
        <v>-4642</v>
      </c>
      <c r="N147">
        <v>3.3892000000000002</v>
      </c>
      <c r="O147">
        <v>4.2799999999999998E-2</v>
      </c>
      <c r="P147">
        <v>23.192399999999999</v>
      </c>
      <c r="Q147">
        <v>18.1433</v>
      </c>
      <c r="R147">
        <v>22.257200000000001</v>
      </c>
      <c r="S147">
        <v>26.279699999999998</v>
      </c>
      <c r="T147">
        <v>0.83740000000000003</v>
      </c>
      <c r="U147">
        <v>26.031500000000001</v>
      </c>
      <c r="V147">
        <v>82500</v>
      </c>
      <c r="W147">
        <v>1.64</v>
      </c>
    </row>
    <row r="148" spans="1:23" x14ac:dyDescent="0.3">
      <c r="A148">
        <v>2009</v>
      </c>
      <c r="B148" t="s">
        <v>41</v>
      </c>
      <c r="C148" t="s">
        <v>40</v>
      </c>
      <c r="D148">
        <v>112.65</v>
      </c>
      <c r="E148">
        <v>35127</v>
      </c>
      <c r="F148">
        <v>19561</v>
      </c>
      <c r="G148">
        <v>4369</v>
      </c>
      <c r="H148">
        <v>0.77</v>
      </c>
      <c r="I148">
        <v>10763</v>
      </c>
      <c r="J148">
        <v>41704</v>
      </c>
      <c r="K148">
        <v>11170</v>
      </c>
      <c r="L148">
        <v>-7965</v>
      </c>
      <c r="M148">
        <v>-2568</v>
      </c>
      <c r="N148">
        <v>2.7871000000000001</v>
      </c>
      <c r="O148">
        <v>5.33E-2</v>
      </c>
      <c r="P148">
        <v>10.4762</v>
      </c>
      <c r="Q148">
        <v>8.2286000000000001</v>
      </c>
      <c r="R148">
        <v>9.9855999999999998</v>
      </c>
      <c r="S148">
        <v>12.4377</v>
      </c>
      <c r="T148">
        <v>1.1789000000000001</v>
      </c>
      <c r="U148">
        <v>11.718500000000001</v>
      </c>
      <c r="V148">
        <v>79800</v>
      </c>
      <c r="W148">
        <v>-0.35549999999999998</v>
      </c>
    </row>
    <row r="149" spans="1:23" x14ac:dyDescent="0.3">
      <c r="A149">
        <v>2022</v>
      </c>
      <c r="B149" t="s">
        <v>42</v>
      </c>
      <c r="C149" t="s">
        <v>43</v>
      </c>
      <c r="D149">
        <v>856.94</v>
      </c>
      <c r="E149">
        <v>513983</v>
      </c>
      <c r="F149">
        <v>225152</v>
      </c>
      <c r="G149">
        <v>-2722</v>
      </c>
      <c r="H149">
        <v>-0.27</v>
      </c>
      <c r="I149">
        <v>54169</v>
      </c>
      <c r="J149">
        <v>146043</v>
      </c>
      <c r="K149">
        <v>46752</v>
      </c>
      <c r="L149">
        <v>-37601</v>
      </c>
      <c r="M149">
        <v>9718</v>
      </c>
      <c r="N149">
        <v>0.9446</v>
      </c>
      <c r="O149">
        <v>0.45979999999999999</v>
      </c>
      <c r="P149">
        <v>-1.8637999999999999</v>
      </c>
      <c r="Q149">
        <v>-0.58830000000000005</v>
      </c>
      <c r="R149">
        <v>-1.2767999999999999</v>
      </c>
      <c r="S149">
        <v>-0.52959999999999996</v>
      </c>
      <c r="T149">
        <v>-0.25459999999999999</v>
      </c>
      <c r="U149">
        <v>-2.1644999999999999</v>
      </c>
      <c r="V149">
        <v>1541000</v>
      </c>
      <c r="W149">
        <v>8.0028000000000006</v>
      </c>
    </row>
    <row r="150" spans="1:23" x14ac:dyDescent="0.3">
      <c r="A150">
        <v>2021</v>
      </c>
      <c r="B150" t="s">
        <v>42</v>
      </c>
      <c r="C150" t="s">
        <v>43</v>
      </c>
      <c r="D150">
        <v>1691</v>
      </c>
      <c r="E150">
        <v>469822</v>
      </c>
      <c r="F150">
        <v>197478</v>
      </c>
      <c r="G150">
        <v>33364</v>
      </c>
      <c r="H150">
        <v>3.24</v>
      </c>
      <c r="I150">
        <v>59312</v>
      </c>
      <c r="J150">
        <v>138245</v>
      </c>
      <c r="K150">
        <v>46327</v>
      </c>
      <c r="L150">
        <v>-58154</v>
      </c>
      <c r="M150">
        <v>6291</v>
      </c>
      <c r="N150">
        <v>1.1357999999999999</v>
      </c>
      <c r="O150">
        <v>0.35260000000000002</v>
      </c>
      <c r="P150">
        <v>24.134</v>
      </c>
      <c r="Q150">
        <v>7.9333999999999998</v>
      </c>
      <c r="R150">
        <v>17.8428</v>
      </c>
      <c r="S150">
        <v>7.1013999999999999</v>
      </c>
      <c r="T150">
        <v>-3.9226000000000001</v>
      </c>
      <c r="U150">
        <v>27.152999999999999</v>
      </c>
      <c r="V150">
        <v>1608000</v>
      </c>
      <c r="W150">
        <v>4.6978999999999997</v>
      </c>
    </row>
    <row r="151" spans="1:23" x14ac:dyDescent="0.3">
      <c r="A151">
        <v>2020</v>
      </c>
      <c r="B151" t="s">
        <v>42</v>
      </c>
      <c r="C151" t="s">
        <v>43</v>
      </c>
      <c r="D151">
        <v>1634.16</v>
      </c>
      <c r="E151">
        <v>386064</v>
      </c>
      <c r="F151">
        <v>152757</v>
      </c>
      <c r="G151">
        <v>21331</v>
      </c>
      <c r="H151">
        <v>2.09</v>
      </c>
      <c r="I151">
        <v>48079</v>
      </c>
      <c r="J151">
        <v>93404</v>
      </c>
      <c r="K151">
        <v>66064</v>
      </c>
      <c r="L151">
        <v>-59611</v>
      </c>
      <c r="M151">
        <v>-1104</v>
      </c>
      <c r="N151">
        <v>1.0502</v>
      </c>
      <c r="O151">
        <v>0.34060000000000001</v>
      </c>
      <c r="P151">
        <v>22.837399999999999</v>
      </c>
      <c r="Q151">
        <v>6.6410999999999998</v>
      </c>
      <c r="R151">
        <v>17.034800000000001</v>
      </c>
      <c r="S151">
        <v>5.5251999999999999</v>
      </c>
      <c r="T151">
        <v>0.4798</v>
      </c>
      <c r="U151">
        <v>27.212399999999999</v>
      </c>
      <c r="V151">
        <v>1298000</v>
      </c>
      <c r="W151">
        <v>1.2336</v>
      </c>
    </row>
    <row r="152" spans="1:23" x14ac:dyDescent="0.3">
      <c r="A152">
        <v>2019</v>
      </c>
      <c r="B152" t="s">
        <v>42</v>
      </c>
      <c r="C152" t="s">
        <v>43</v>
      </c>
      <c r="D152">
        <v>916.15</v>
      </c>
      <c r="E152">
        <v>280522</v>
      </c>
      <c r="F152">
        <v>114986</v>
      </c>
      <c r="G152">
        <v>11588</v>
      </c>
      <c r="H152">
        <v>1.1505000000000001</v>
      </c>
      <c r="I152">
        <v>36330</v>
      </c>
      <c r="J152">
        <v>62060</v>
      </c>
      <c r="K152">
        <v>38514</v>
      </c>
      <c r="L152">
        <v>-24281</v>
      </c>
      <c r="M152">
        <v>-10066</v>
      </c>
      <c r="N152">
        <v>1.097</v>
      </c>
      <c r="O152">
        <v>0.37730000000000002</v>
      </c>
      <c r="P152">
        <v>18.6723</v>
      </c>
      <c r="Q152">
        <v>5.1445999999999996</v>
      </c>
      <c r="R152">
        <v>13.5573</v>
      </c>
      <c r="S152">
        <v>4.1308999999999996</v>
      </c>
      <c r="T152">
        <v>0.622</v>
      </c>
      <c r="U152">
        <v>24.495799999999999</v>
      </c>
      <c r="V152">
        <v>798000</v>
      </c>
      <c r="W152">
        <v>1.8122</v>
      </c>
    </row>
    <row r="153" spans="1:23" x14ac:dyDescent="0.3">
      <c r="A153">
        <v>2018</v>
      </c>
      <c r="B153" t="s">
        <v>42</v>
      </c>
      <c r="C153" t="s">
        <v>43</v>
      </c>
      <c r="D153">
        <v>734.42</v>
      </c>
      <c r="E153">
        <v>232887</v>
      </c>
      <c r="F153">
        <v>93731</v>
      </c>
      <c r="G153">
        <v>10073</v>
      </c>
      <c r="H153">
        <v>1.0069999999999999</v>
      </c>
      <c r="I153">
        <v>27762</v>
      </c>
      <c r="J153">
        <v>43549</v>
      </c>
      <c r="K153">
        <v>30723</v>
      </c>
      <c r="L153">
        <v>-12369</v>
      </c>
      <c r="M153">
        <v>-7686</v>
      </c>
      <c r="N153">
        <v>1.0981000000000001</v>
      </c>
      <c r="O153">
        <v>0.53949999999999998</v>
      </c>
      <c r="P153">
        <v>23.130299999999998</v>
      </c>
      <c r="Q153">
        <v>6.1931000000000003</v>
      </c>
      <c r="R153">
        <v>15.0245</v>
      </c>
      <c r="S153">
        <v>4.3253000000000004</v>
      </c>
      <c r="T153">
        <v>1.0974999999999999</v>
      </c>
      <c r="U153">
        <v>34.7333</v>
      </c>
      <c r="V153">
        <v>647500</v>
      </c>
      <c r="W153">
        <v>2.4426000000000001</v>
      </c>
    </row>
    <row r="154" spans="1:23" x14ac:dyDescent="0.3">
      <c r="A154">
        <v>2017</v>
      </c>
      <c r="B154" t="s">
        <v>42</v>
      </c>
      <c r="C154" t="s">
        <v>43</v>
      </c>
      <c r="D154">
        <v>563.54</v>
      </c>
      <c r="E154">
        <v>177866</v>
      </c>
      <c r="F154">
        <v>65932</v>
      </c>
      <c r="G154">
        <v>3033</v>
      </c>
      <c r="H154">
        <v>0.3075</v>
      </c>
      <c r="I154">
        <v>15584</v>
      </c>
      <c r="J154">
        <v>27709</v>
      </c>
      <c r="K154">
        <v>18365</v>
      </c>
      <c r="L154">
        <v>-27084</v>
      </c>
      <c r="M154">
        <v>9928</v>
      </c>
      <c r="N154">
        <v>1.04</v>
      </c>
      <c r="O154">
        <v>0.89300000000000002</v>
      </c>
      <c r="P154">
        <v>10.9459</v>
      </c>
      <c r="Q154">
        <v>2.3098000000000001</v>
      </c>
      <c r="R154">
        <v>5.7824</v>
      </c>
      <c r="S154">
        <v>1.7052</v>
      </c>
      <c r="T154">
        <v>-0.2387</v>
      </c>
      <c r="U154">
        <v>21.122599999999998</v>
      </c>
      <c r="V154">
        <v>566000</v>
      </c>
      <c r="W154">
        <v>2.1301000000000001</v>
      </c>
    </row>
    <row r="155" spans="1:23" x14ac:dyDescent="0.3">
      <c r="A155">
        <v>2016</v>
      </c>
      <c r="B155" t="s">
        <v>42</v>
      </c>
      <c r="C155" t="s">
        <v>43</v>
      </c>
      <c r="D155">
        <v>356.31</v>
      </c>
      <c r="E155">
        <v>135987</v>
      </c>
      <c r="F155">
        <v>47722</v>
      </c>
      <c r="G155">
        <v>2371</v>
      </c>
      <c r="H155">
        <v>0.245</v>
      </c>
      <c r="I155">
        <v>12302</v>
      </c>
      <c r="J155">
        <v>19285</v>
      </c>
      <c r="K155">
        <v>17203</v>
      </c>
      <c r="L155">
        <v>-9516</v>
      </c>
      <c r="M155">
        <v>-3716</v>
      </c>
      <c r="N155">
        <v>1.0448</v>
      </c>
      <c r="O155">
        <v>0.39900000000000002</v>
      </c>
      <c r="P155">
        <v>12.294499999999999</v>
      </c>
      <c r="Q155">
        <v>2.8429000000000002</v>
      </c>
      <c r="R155">
        <v>8.7882999999999996</v>
      </c>
      <c r="S155">
        <v>1.7435</v>
      </c>
      <c r="T155">
        <v>0.30030000000000001</v>
      </c>
      <c r="U155">
        <v>15.2958</v>
      </c>
      <c r="V155">
        <v>341400</v>
      </c>
      <c r="W155">
        <v>1.2616000000000001</v>
      </c>
    </row>
    <row r="156" spans="1:23" x14ac:dyDescent="0.3">
      <c r="A156">
        <v>2015</v>
      </c>
      <c r="B156" t="s">
        <v>42</v>
      </c>
      <c r="C156" t="s">
        <v>43</v>
      </c>
      <c r="D156">
        <v>316.83</v>
      </c>
      <c r="E156">
        <v>107006</v>
      </c>
      <c r="F156">
        <v>35355</v>
      </c>
      <c r="G156">
        <v>596</v>
      </c>
      <c r="H156">
        <v>6.25E-2</v>
      </c>
      <c r="I156">
        <v>8514</v>
      </c>
      <c r="J156">
        <v>13384</v>
      </c>
      <c r="K156">
        <v>12039</v>
      </c>
      <c r="L156">
        <v>-6450</v>
      </c>
      <c r="M156">
        <v>-3882</v>
      </c>
      <c r="N156">
        <v>1.0536000000000001</v>
      </c>
      <c r="O156">
        <v>0.61470000000000002</v>
      </c>
      <c r="P156">
        <v>4.4531000000000001</v>
      </c>
      <c r="Q156">
        <v>0.92049999999999998</v>
      </c>
      <c r="R156">
        <v>2.7578999999999998</v>
      </c>
      <c r="S156">
        <v>0.55700000000000005</v>
      </c>
      <c r="T156">
        <v>0.56999999999999995</v>
      </c>
      <c r="U156">
        <v>6.1921999999999997</v>
      </c>
      <c r="V156">
        <v>230800</v>
      </c>
      <c r="W156">
        <v>0.1186</v>
      </c>
    </row>
    <row r="157" spans="1:23" x14ac:dyDescent="0.3">
      <c r="A157">
        <v>2014</v>
      </c>
      <c r="B157" t="s">
        <v>42</v>
      </c>
      <c r="C157" t="s">
        <v>43</v>
      </c>
      <c r="D157">
        <v>143.69999999999999</v>
      </c>
      <c r="E157">
        <v>88988</v>
      </c>
      <c r="F157">
        <v>26236</v>
      </c>
      <c r="G157">
        <v>-241</v>
      </c>
      <c r="H157">
        <v>-2.5999999999999999E-2</v>
      </c>
      <c r="I157">
        <v>4924</v>
      </c>
      <c r="J157">
        <v>10741</v>
      </c>
      <c r="K157">
        <v>6842</v>
      </c>
      <c r="L157">
        <v>-5065</v>
      </c>
      <c r="M157">
        <v>4432</v>
      </c>
      <c r="N157">
        <v>1.1153</v>
      </c>
      <c r="O157">
        <v>0.76949999999999996</v>
      </c>
      <c r="P157">
        <v>-2.2437</v>
      </c>
      <c r="Q157">
        <v>-0.44219999999999998</v>
      </c>
      <c r="R157">
        <v>-1.268</v>
      </c>
      <c r="S157">
        <v>-0.27079999999999999</v>
      </c>
      <c r="T157">
        <v>-7.4999999999999997E-3</v>
      </c>
      <c r="U157">
        <v>-3.2471000000000001</v>
      </c>
      <c r="V157">
        <v>154100</v>
      </c>
      <c r="W157">
        <v>1.6222000000000001</v>
      </c>
    </row>
    <row r="158" spans="1:23" x14ac:dyDescent="0.3">
      <c r="A158">
        <v>2013</v>
      </c>
      <c r="B158" t="s">
        <v>42</v>
      </c>
      <c r="C158" t="s">
        <v>43</v>
      </c>
      <c r="D158">
        <v>182.54</v>
      </c>
      <c r="E158">
        <v>74452</v>
      </c>
      <c r="F158">
        <v>20271</v>
      </c>
      <c r="G158">
        <v>274</v>
      </c>
      <c r="H158">
        <v>2.9499999999999998E-2</v>
      </c>
      <c r="I158">
        <v>3998</v>
      </c>
      <c r="J158">
        <v>9746</v>
      </c>
      <c r="K158">
        <v>5475</v>
      </c>
      <c r="L158">
        <v>-4276</v>
      </c>
      <c r="M158">
        <v>-539</v>
      </c>
      <c r="N158">
        <v>1.0716000000000001</v>
      </c>
      <c r="O158">
        <v>0.32740000000000002</v>
      </c>
      <c r="P158">
        <v>2.8113999999999999</v>
      </c>
      <c r="Q158">
        <v>0.68230000000000002</v>
      </c>
      <c r="R158">
        <v>2.1179999999999999</v>
      </c>
      <c r="S158">
        <v>0.36799999999999999</v>
      </c>
      <c r="T158">
        <v>0.17480000000000001</v>
      </c>
      <c r="U158">
        <v>3.8641000000000001</v>
      </c>
      <c r="V158">
        <v>117300</v>
      </c>
      <c r="W158">
        <v>1.4648000000000001</v>
      </c>
    </row>
    <row r="159" spans="1:23" x14ac:dyDescent="0.3">
      <c r="A159">
        <v>2012</v>
      </c>
      <c r="B159" t="s">
        <v>42</v>
      </c>
      <c r="C159" t="s">
        <v>43</v>
      </c>
      <c r="D159">
        <v>113.63</v>
      </c>
      <c r="E159">
        <v>61093</v>
      </c>
      <c r="F159">
        <v>15122</v>
      </c>
      <c r="G159">
        <v>-39</v>
      </c>
      <c r="H159">
        <v>-4.4999999999999997E-3</v>
      </c>
      <c r="I159">
        <v>2835</v>
      </c>
      <c r="J159">
        <v>8192</v>
      </c>
      <c r="K159">
        <v>4180</v>
      </c>
      <c r="L159">
        <v>-3595</v>
      </c>
      <c r="M159">
        <v>2259</v>
      </c>
      <c r="N159">
        <v>1.1207</v>
      </c>
      <c r="O159">
        <v>0.3765</v>
      </c>
      <c r="P159">
        <v>-0.47610000000000002</v>
      </c>
      <c r="Q159">
        <v>-0.1198</v>
      </c>
      <c r="R159">
        <v>-0.34589999999999999</v>
      </c>
      <c r="S159">
        <v>-6.3799999999999996E-2</v>
      </c>
      <c r="T159">
        <v>-0.18329999999999999</v>
      </c>
      <c r="U159">
        <v>-0.6915</v>
      </c>
      <c r="V159">
        <v>88400</v>
      </c>
      <c r="W159">
        <v>2.0693000000000001</v>
      </c>
    </row>
    <row r="160" spans="1:23" x14ac:dyDescent="0.3">
      <c r="A160">
        <v>2011</v>
      </c>
      <c r="B160" t="s">
        <v>42</v>
      </c>
      <c r="C160" t="s">
        <v>43</v>
      </c>
      <c r="D160">
        <v>78.72</v>
      </c>
      <c r="E160">
        <v>48077</v>
      </c>
      <c r="F160">
        <v>10789</v>
      </c>
      <c r="G160">
        <v>631</v>
      </c>
      <c r="H160">
        <v>6.8500000000000005E-2</v>
      </c>
      <c r="I160">
        <v>1945</v>
      </c>
      <c r="J160">
        <v>7757</v>
      </c>
      <c r="K160">
        <v>3903</v>
      </c>
      <c r="L160">
        <v>-1930</v>
      </c>
      <c r="M160">
        <v>-482</v>
      </c>
      <c r="N160">
        <v>1.1740999999999999</v>
      </c>
      <c r="O160">
        <v>3.2899999999999999E-2</v>
      </c>
      <c r="P160">
        <v>8.1346000000000007</v>
      </c>
      <c r="Q160">
        <v>2.4962</v>
      </c>
      <c r="R160">
        <v>7.8757000000000001</v>
      </c>
      <c r="S160">
        <v>1.3125</v>
      </c>
      <c r="T160">
        <v>-4.9000000000000002E-2</v>
      </c>
      <c r="U160">
        <v>10.8756</v>
      </c>
      <c r="V160">
        <v>56200</v>
      </c>
      <c r="W160">
        <v>3.1568000000000001</v>
      </c>
    </row>
    <row r="161" spans="1:23" x14ac:dyDescent="0.3">
      <c r="A161">
        <v>2010</v>
      </c>
      <c r="B161" t="s">
        <v>42</v>
      </c>
      <c r="C161" t="s">
        <v>43</v>
      </c>
      <c r="D161">
        <v>80.790000000000006</v>
      </c>
      <c r="E161">
        <v>34204</v>
      </c>
      <c r="F161">
        <v>7643</v>
      </c>
      <c r="G161">
        <v>1152</v>
      </c>
      <c r="H161">
        <v>0.1265</v>
      </c>
      <c r="I161">
        <v>1974</v>
      </c>
      <c r="J161">
        <v>6864</v>
      </c>
      <c r="K161">
        <v>3495</v>
      </c>
      <c r="L161">
        <v>-3360</v>
      </c>
      <c r="M161">
        <v>181</v>
      </c>
      <c r="N161">
        <v>1.3253999999999999</v>
      </c>
      <c r="O161">
        <v>0.22739999999999999</v>
      </c>
      <c r="P161">
        <v>16.783200000000001</v>
      </c>
      <c r="Q161">
        <v>6.1285999999999996</v>
      </c>
      <c r="R161">
        <v>13.6736</v>
      </c>
      <c r="S161">
        <v>3.3679999999999999</v>
      </c>
      <c r="T161">
        <v>-5.4399999999999997E-2</v>
      </c>
      <c r="U161">
        <v>20.888500000000001</v>
      </c>
      <c r="V161">
        <v>33700</v>
      </c>
      <c r="W161">
        <v>1.64</v>
      </c>
    </row>
    <row r="162" spans="1:23" x14ac:dyDescent="0.3">
      <c r="A162">
        <v>2009</v>
      </c>
      <c r="B162" t="s">
        <v>42</v>
      </c>
      <c r="C162" t="s">
        <v>43</v>
      </c>
      <c r="D162">
        <v>58.24</v>
      </c>
      <c r="E162">
        <v>24509</v>
      </c>
      <c r="F162">
        <v>5531</v>
      </c>
      <c r="G162">
        <v>902</v>
      </c>
      <c r="H162">
        <v>0.10199999999999999</v>
      </c>
      <c r="I162">
        <v>1507</v>
      </c>
      <c r="J162">
        <v>5257</v>
      </c>
      <c r="K162">
        <v>3293</v>
      </c>
      <c r="L162">
        <v>-2337</v>
      </c>
      <c r="M162">
        <v>-280</v>
      </c>
      <c r="N162">
        <v>1.3304</v>
      </c>
      <c r="O162">
        <v>0.20069999999999999</v>
      </c>
      <c r="P162">
        <v>17.158100000000001</v>
      </c>
      <c r="Q162">
        <v>6.5301</v>
      </c>
      <c r="R162">
        <v>17.158100000000001</v>
      </c>
      <c r="S162">
        <v>3.6802999999999999</v>
      </c>
      <c r="T162">
        <v>0.33029999999999998</v>
      </c>
      <c r="U162">
        <v>22.421099999999999</v>
      </c>
      <c r="V162">
        <v>24300</v>
      </c>
      <c r="W162">
        <v>-0.35549999999999998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2"/>
  <sheetViews>
    <sheetView topLeftCell="A27" workbookViewId="0">
      <selection activeCell="D30" sqref="D30"/>
    </sheetView>
  </sheetViews>
  <sheetFormatPr defaultRowHeight="14.4" x14ac:dyDescent="0.3"/>
  <cols>
    <col min="1" max="1" width="9.109375" style="1" bestFit="1" customWidth="1"/>
    <col min="2" max="2" width="14" style="1" bestFit="1" customWidth="1"/>
    <col min="3" max="3" width="16.21875" style="1" bestFit="1" customWidth="1"/>
    <col min="4" max="4" width="14.109375" style="6" bestFit="1" customWidth="1"/>
    <col min="5" max="5" width="16.5546875" style="6" bestFit="1" customWidth="1"/>
    <col min="6" max="6" width="12.88671875" style="6" bestFit="1" customWidth="1"/>
    <col min="7" max="7" width="12.5546875" style="25" bestFit="1" customWidth="1"/>
    <col min="8" max="8" width="17" style="25" bestFit="1" customWidth="1"/>
    <col min="9" max="9" width="19.5546875" style="25" bestFit="1" customWidth="1"/>
    <col min="10" max="10" width="18" style="25" bestFit="1" customWidth="1"/>
    <col min="11" max="11" width="19.44140625" style="25" bestFit="1" customWidth="1"/>
    <col min="12" max="12" width="19.5546875" style="37" bestFit="1" customWidth="1"/>
    <col min="13" max="13" width="22.109375" style="37" bestFit="1" customWidth="1"/>
    <col min="14" max="14" width="10.5546875" style="27" bestFit="1" customWidth="1"/>
    <col min="15" max="15" width="15.77734375" style="27" bestFit="1" customWidth="1"/>
    <col min="16" max="16" width="22.21875" bestFit="1" customWidth="1"/>
  </cols>
  <sheetData>
    <row r="1" spans="1:17" x14ac:dyDescent="0.3">
      <c r="A1" s="8" t="s">
        <v>0</v>
      </c>
      <c r="B1" s="9" t="s">
        <v>1</v>
      </c>
      <c r="C1" s="9" t="s">
        <v>44</v>
      </c>
      <c r="D1" s="10" t="s">
        <v>4</v>
      </c>
      <c r="E1" s="10" t="s">
        <v>6</v>
      </c>
      <c r="F1" s="10" t="s">
        <v>8</v>
      </c>
      <c r="G1" s="22" t="s">
        <v>45</v>
      </c>
      <c r="H1" s="55" t="s">
        <v>49</v>
      </c>
      <c r="I1" s="10" t="s">
        <v>50</v>
      </c>
      <c r="J1" s="28" t="s">
        <v>52</v>
      </c>
      <c r="K1" s="28" t="s">
        <v>53</v>
      </c>
      <c r="L1" s="34" t="s">
        <v>54</v>
      </c>
      <c r="M1" s="34" t="s">
        <v>55</v>
      </c>
      <c r="N1" s="31" t="s">
        <v>57</v>
      </c>
      <c r="O1" s="31" t="s">
        <v>58</v>
      </c>
      <c r="P1" s="28" t="s">
        <v>56</v>
      </c>
    </row>
    <row r="2" spans="1:17" x14ac:dyDescent="0.3">
      <c r="A2" s="7">
        <v>2022</v>
      </c>
      <c r="B2" s="3" t="s">
        <v>23</v>
      </c>
      <c r="C2" s="3" t="s">
        <v>24</v>
      </c>
      <c r="D2" s="5">
        <v>394328</v>
      </c>
      <c r="E2" s="5">
        <v>99803</v>
      </c>
      <c r="F2" s="5">
        <v>130541</v>
      </c>
      <c r="G2" s="23">
        <f>VLOOKUP(tbl_financials[[#This Row],[Industry]],tbl_tax[[Industry]:[Tax Rate]],2,FALSE)</f>
        <v>0.25</v>
      </c>
      <c r="H2" s="26">
        <f>tbl_financials[[#This Row],[Net Income]]*tbl_financials[[#This Row],[Tax Rate]]</f>
        <v>24950.75</v>
      </c>
      <c r="I2" s="26">
        <f>tbl_financials[[#This Row],[Net Income]]-tbl_financials[[#This Row],[Tax Amount]]</f>
        <v>74852.25</v>
      </c>
      <c r="J2" s="29">
        <f>tbl_financials[[#This Row],[Net Income]]/tbl_financials[[#This Row],[Revenue]]</f>
        <v>0.25309640705199732</v>
      </c>
      <c r="K2" s="29">
        <f>tbl_financials[[#This Row],[EBITDA]]/tbl_financials[[#This Row],[Revenue]]</f>
        <v>0.3310467428130896</v>
      </c>
      <c r="L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7.7937876041846058E-2</v>
      </c>
      <c r="M2" s="29">
        <f>IFERROR((tbl_financials[[#This Row],[Net Income]]-INDEX(tbl_financials[Net Income],MATCH(tbl_financials[[#This Row],[PreviousKey]],tbl_financials[Key],0)))/INDEX(tbl_financials[Net Income],MATCH(tbl_financials[[#This Row],[PreviousKey]],tbl_financials[Key],0)),"")</f>
        <v>5.4108576256865229E-2</v>
      </c>
      <c r="N2" s="30" t="str">
        <f>tbl_financials[[#This Row],[Company ]]&amp;tbl_financials[[#This Row],[Year]]</f>
        <v>AAPL2022</v>
      </c>
      <c r="O2" s="30" t="str">
        <f>tbl_financials[[#This Row],[Company ]]&amp;(tbl_financials[[#This Row],[Year]]-1)</f>
        <v>AAPL2021</v>
      </c>
      <c r="P2" s="26"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 s="4"/>
    </row>
    <row r="3" spans="1:17" x14ac:dyDescent="0.3">
      <c r="A3" s="7">
        <v>2021</v>
      </c>
      <c r="B3" s="3" t="s">
        <v>23</v>
      </c>
      <c r="C3" s="3" t="s">
        <v>24</v>
      </c>
      <c r="D3" s="5">
        <v>365817</v>
      </c>
      <c r="E3" s="5">
        <v>94680</v>
      </c>
      <c r="F3" s="5">
        <v>120233</v>
      </c>
      <c r="G3" s="23">
        <f>VLOOKUP(tbl_financials[[#This Row],[Industry]],tbl_tax[[Industry]:[Tax Rate]],2,FALSE)</f>
        <v>0.25</v>
      </c>
      <c r="H3" s="5">
        <f>tbl_financials[[#This Row],[Net Income]]*tbl_financials[[#This Row],[Tax Rate]]</f>
        <v>23670</v>
      </c>
      <c r="I3" s="5">
        <f>tbl_financials[[#This Row],[Net Income]]-tbl_financials[[#This Row],[Tax Amount]]</f>
        <v>71010</v>
      </c>
      <c r="J3" s="29">
        <f>tbl_financials[[#This Row],[Net Income]]/tbl_financials[[#This Row],[Revenue]]</f>
        <v>0.25881793355694238</v>
      </c>
      <c r="K3" s="29">
        <f>tbl_financials[[#This Row],[EBITDA]]/tbl_financials[[#This Row],[Revenue]]</f>
        <v>0.32866979938056462</v>
      </c>
      <c r="L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0.33259384733074693</v>
      </c>
      <c r="M3" s="35">
        <f>IFERROR((tbl_financials[[#This Row],[Net Income]]-INDEX(tbl_financials[Net Income],MATCH(tbl_financials[[#This Row],[PreviousKey]],tbl_financials[Key],0)))/INDEX(tbl_financials[Net Income],MATCH(tbl_financials[[#This Row],[PreviousKey]],tbl_financials[Key],0)),"")</f>
        <v>0.64916131055024295</v>
      </c>
      <c r="N3" s="32" t="str">
        <f>tbl_financials[[#This Row],[Company ]]&amp;tbl_financials[[#This Row],[Year]]</f>
        <v>AAPL2021</v>
      </c>
      <c r="O3" s="32" t="str">
        <f>tbl_financials[[#This Row],[Company ]]&amp;(tbl_financials[[#This Row],[Year]]-1)</f>
        <v>AAPL2020</v>
      </c>
      <c r="P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 s="4"/>
    </row>
    <row r="4" spans="1:17" x14ac:dyDescent="0.3">
      <c r="A4" s="7">
        <v>2020</v>
      </c>
      <c r="B4" s="3" t="s">
        <v>23</v>
      </c>
      <c r="C4" s="3" t="s">
        <v>24</v>
      </c>
      <c r="D4" s="5">
        <v>274515</v>
      </c>
      <c r="E4" s="5">
        <v>57411</v>
      </c>
      <c r="F4" s="5">
        <v>77344</v>
      </c>
      <c r="G4" s="23">
        <f>VLOOKUP(tbl_financials[[#This Row],[Industry]],tbl_tax[[Industry]:[Tax Rate]],2,FALSE)</f>
        <v>0.25</v>
      </c>
      <c r="H4" s="5">
        <f>tbl_financials[[#This Row],[Net Income]]*tbl_financials[[#This Row],[Tax Rate]]</f>
        <v>14352.75</v>
      </c>
      <c r="I4" s="5">
        <f>tbl_financials[[#This Row],[Net Income]]-tbl_financials[[#This Row],[Tax Amount]]</f>
        <v>43058.25</v>
      </c>
      <c r="J4" s="29">
        <f>tbl_financials[[#This Row],[Net Income]]/tbl_financials[[#This Row],[Revenue]]</f>
        <v>0.20913611278072236</v>
      </c>
      <c r="K4" s="29">
        <f>tbl_financials[[#This Row],[EBITDA]]/tbl_financials[[#This Row],[Revenue]]</f>
        <v>0.2817478097736007</v>
      </c>
      <c r="L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5.5120803769784836E-2</v>
      </c>
      <c r="M4" s="35">
        <f>IFERROR((tbl_financials[[#This Row],[Net Income]]-INDEX(tbl_financials[Net Income],MATCH(tbl_financials[[#This Row],[PreviousKey]],tbl_financials[Key],0)))/INDEX(tbl_financials[Net Income],MATCH(tbl_financials[[#This Row],[PreviousKey]],tbl_financials[Key],0)),"")</f>
        <v>3.9000289561314606E-2</v>
      </c>
      <c r="N4" s="32" t="str">
        <f>tbl_financials[[#This Row],[Company ]]&amp;tbl_financials[[#This Row],[Year]]</f>
        <v>AAPL2020</v>
      </c>
      <c r="O4" s="32" t="str">
        <f>tbl_financials[[#This Row],[Company ]]&amp;(tbl_financials[[#This Row],[Year]]-1)</f>
        <v>AAPL2019</v>
      </c>
      <c r="P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 s="4"/>
    </row>
    <row r="5" spans="1:17" x14ac:dyDescent="0.3">
      <c r="A5" s="7">
        <v>2019</v>
      </c>
      <c r="B5" s="3" t="s">
        <v>23</v>
      </c>
      <c r="C5" s="3" t="s">
        <v>24</v>
      </c>
      <c r="D5" s="5">
        <v>260174</v>
      </c>
      <c r="E5" s="5">
        <v>55256</v>
      </c>
      <c r="F5" s="5">
        <v>76477</v>
      </c>
      <c r="G5" s="23">
        <f>VLOOKUP(tbl_financials[[#This Row],[Industry]],tbl_tax[[Industry]:[Tax Rate]],2,FALSE)</f>
        <v>0.25</v>
      </c>
      <c r="H5" s="5">
        <f>tbl_financials[[#This Row],[Net Income]]*tbl_financials[[#This Row],[Tax Rate]]</f>
        <v>13814</v>
      </c>
      <c r="I5" s="5">
        <f>tbl_financials[[#This Row],[Net Income]]-tbl_financials[[#This Row],[Tax Amount]]</f>
        <v>41442</v>
      </c>
      <c r="J5" s="29">
        <f>tbl_financials[[#This Row],[Net Income]]/tbl_financials[[#This Row],[Revenue]]</f>
        <v>0.21238094505984456</v>
      </c>
      <c r="K5" s="29">
        <f>tbl_financials[[#This Row],[EBITDA]]/tbl_financials[[#This Row],[Revenue]]</f>
        <v>0.29394559025882677</v>
      </c>
      <c r="L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-2.0410775805267418E-2</v>
      </c>
      <c r="M5" s="35">
        <f>IFERROR((tbl_financials[[#This Row],[Net Income]]-INDEX(tbl_financials[Net Income],MATCH(tbl_financials[[#This Row],[PreviousKey]],tbl_financials[Key],0)))/INDEX(tbl_financials[Net Income],MATCH(tbl_financials[[#This Row],[PreviousKey]],tbl_financials[Key],0)),"")</f>
        <v>-7.1811325191916811E-2</v>
      </c>
      <c r="N5" s="32" t="str">
        <f>tbl_financials[[#This Row],[Company ]]&amp;tbl_financials[[#This Row],[Year]]</f>
        <v>AAPL2019</v>
      </c>
      <c r="O5" s="32" t="str">
        <f>tbl_financials[[#This Row],[Company ]]&amp;(tbl_financials[[#This Row],[Year]]-1)</f>
        <v>AAPL2018</v>
      </c>
      <c r="P5"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5" s="4"/>
    </row>
    <row r="6" spans="1:17" x14ac:dyDescent="0.3">
      <c r="A6" s="7">
        <v>2018</v>
      </c>
      <c r="B6" s="3" t="s">
        <v>23</v>
      </c>
      <c r="C6" s="3" t="s">
        <v>24</v>
      </c>
      <c r="D6" s="5">
        <v>265595</v>
      </c>
      <c r="E6" s="5">
        <v>59531</v>
      </c>
      <c r="F6" s="5">
        <v>81801</v>
      </c>
      <c r="G6" s="23">
        <f>VLOOKUP(tbl_financials[[#This Row],[Industry]],tbl_tax[[Industry]:[Tax Rate]],2,FALSE)</f>
        <v>0.25</v>
      </c>
      <c r="H6" s="5">
        <f>tbl_financials[[#This Row],[Net Income]]*tbl_financials[[#This Row],[Tax Rate]]</f>
        <v>14882.75</v>
      </c>
      <c r="I6" s="5">
        <f>tbl_financials[[#This Row],[Net Income]]-tbl_financials[[#This Row],[Tax Amount]]</f>
        <v>44648.25</v>
      </c>
      <c r="J6" s="29">
        <f>tbl_financials[[#This Row],[Net Income]]/tbl_financials[[#This Row],[Revenue]]</f>
        <v>0.22414202074587247</v>
      </c>
      <c r="K6" s="29">
        <f>tbl_financials[[#This Row],[EBITDA]]/tbl_financials[[#This Row],[Revenue]]</f>
        <v>0.30799149080366722</v>
      </c>
      <c r="L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0.15861957650261305</v>
      </c>
      <c r="M6" s="35">
        <f>IFERROR((tbl_financials[[#This Row],[Net Income]]-INDEX(tbl_financials[Net Income],MATCH(tbl_financials[[#This Row],[PreviousKey]],tbl_financials[Key],0)))/INDEX(tbl_financials[Net Income],MATCH(tbl_financials[[#This Row],[PreviousKey]],tbl_financials[Key],0)),"")</f>
        <v>0.23122582780087278</v>
      </c>
      <c r="N6" s="32" t="str">
        <f>tbl_financials[[#This Row],[Company ]]&amp;tbl_financials[[#This Row],[Year]]</f>
        <v>AAPL2018</v>
      </c>
      <c r="O6" s="32" t="str">
        <f>tbl_financials[[#This Row],[Company ]]&amp;(tbl_financials[[#This Row],[Year]]-1)</f>
        <v>AAPL2017</v>
      </c>
      <c r="P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6" s="4"/>
    </row>
    <row r="7" spans="1:17" x14ac:dyDescent="0.3">
      <c r="A7" s="7">
        <v>2017</v>
      </c>
      <c r="B7" s="3" t="s">
        <v>23</v>
      </c>
      <c r="C7" s="3" t="s">
        <v>24</v>
      </c>
      <c r="D7" s="5">
        <v>229234</v>
      </c>
      <c r="E7" s="5">
        <v>48351</v>
      </c>
      <c r="F7" s="5">
        <v>71501</v>
      </c>
      <c r="G7" s="23">
        <f>VLOOKUP(tbl_financials[[#This Row],[Industry]],tbl_tax[[Industry]:[Tax Rate]],2,FALSE)</f>
        <v>0.25</v>
      </c>
      <c r="H7" s="5">
        <f>tbl_financials[[#This Row],[Net Income]]*tbl_financials[[#This Row],[Tax Rate]]</f>
        <v>12087.75</v>
      </c>
      <c r="I7" s="5">
        <f>tbl_financials[[#This Row],[Net Income]]-tbl_financials[[#This Row],[Tax Amount]]</f>
        <v>36263.25</v>
      </c>
      <c r="J7" s="29">
        <f>tbl_financials[[#This Row],[Net Income]]/tbl_financials[[#This Row],[Revenue]]</f>
        <v>0.21092420845075338</v>
      </c>
      <c r="K7" s="29">
        <f>tbl_financials[[#This Row],[EBITDA]]/tbl_financials[[#This Row],[Revenue]]</f>
        <v>0.31191271800867237</v>
      </c>
      <c r="L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6.3045181993980681E-2</v>
      </c>
      <c r="M7" s="35">
        <f>IFERROR((tbl_financials[[#This Row],[Net Income]]-INDEX(tbl_financials[Net Income],MATCH(tbl_financials[[#This Row],[PreviousKey]],tbl_financials[Key],0)))/INDEX(tbl_financials[Net Income],MATCH(tbl_financials[[#This Row],[PreviousKey]],tbl_financials[Key],0)),"")</f>
        <v>5.8309803664061986E-2</v>
      </c>
      <c r="N7" s="32" t="str">
        <f>tbl_financials[[#This Row],[Company ]]&amp;tbl_financials[[#This Row],[Year]]</f>
        <v>AAPL2017</v>
      </c>
      <c r="O7" s="32" t="str">
        <f>tbl_financials[[#This Row],[Company ]]&amp;(tbl_financials[[#This Row],[Year]]-1)</f>
        <v>AAPL2016</v>
      </c>
      <c r="P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7" s="4"/>
    </row>
    <row r="8" spans="1:17" x14ac:dyDescent="0.3">
      <c r="A8" s="7">
        <v>2016</v>
      </c>
      <c r="B8" s="3" t="s">
        <v>23</v>
      </c>
      <c r="C8" s="3" t="s">
        <v>24</v>
      </c>
      <c r="D8" s="5">
        <v>215639</v>
      </c>
      <c r="E8" s="5">
        <v>45687</v>
      </c>
      <c r="F8" s="5">
        <v>70529</v>
      </c>
      <c r="G8" s="23">
        <f>VLOOKUP(tbl_financials[[#This Row],[Industry]],tbl_tax[[Industry]:[Tax Rate]],2,FALSE)</f>
        <v>0.25</v>
      </c>
      <c r="H8" s="5">
        <f>tbl_financials[[#This Row],[Net Income]]*tbl_financials[[#This Row],[Tax Rate]]</f>
        <v>11421.75</v>
      </c>
      <c r="I8" s="5">
        <f>tbl_financials[[#This Row],[Net Income]]-tbl_financials[[#This Row],[Tax Amount]]</f>
        <v>34265.25</v>
      </c>
      <c r="J8" s="29">
        <f>tbl_financials[[#This Row],[Net Income]]/tbl_financials[[#This Row],[Revenue]]</f>
        <v>0.211867983064288</v>
      </c>
      <c r="K8" s="29">
        <f>tbl_financials[[#This Row],[EBITDA]]/tbl_financials[[#This Row],[Revenue]]</f>
        <v>0.32706977865784947</v>
      </c>
      <c r="L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-7.734206191301371E-2</v>
      </c>
      <c r="M8" s="35">
        <f>IFERROR((tbl_financials[[#This Row],[Net Income]]-INDEX(tbl_financials[Net Income],MATCH(tbl_financials[[#This Row],[PreviousKey]],tbl_financials[Key],0)))/INDEX(tbl_financials[Net Income],MATCH(tbl_financials[[#This Row],[PreviousKey]],tbl_financials[Key],0)),"")</f>
        <v>-0.14434206090571974</v>
      </c>
      <c r="N8" s="32" t="str">
        <f>tbl_financials[[#This Row],[Company ]]&amp;tbl_financials[[#This Row],[Year]]</f>
        <v>AAPL2016</v>
      </c>
      <c r="O8" s="32" t="str">
        <f>tbl_financials[[#This Row],[Company ]]&amp;(tbl_financials[[#This Row],[Year]]-1)</f>
        <v>AAPL2015</v>
      </c>
      <c r="P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8" s="4"/>
    </row>
    <row r="9" spans="1:17" x14ac:dyDescent="0.3">
      <c r="A9" s="7">
        <v>2015</v>
      </c>
      <c r="B9" s="3" t="s">
        <v>23</v>
      </c>
      <c r="C9" s="3" t="s">
        <v>24</v>
      </c>
      <c r="D9" s="5">
        <v>233715</v>
      </c>
      <c r="E9" s="5">
        <v>53394</v>
      </c>
      <c r="F9" s="5">
        <v>82487</v>
      </c>
      <c r="G9" s="23">
        <f>VLOOKUP(tbl_financials[[#This Row],[Industry]],tbl_tax[[Industry]:[Tax Rate]],2,FALSE)</f>
        <v>0.25</v>
      </c>
      <c r="H9" s="5">
        <f>tbl_financials[[#This Row],[Net Income]]*tbl_financials[[#This Row],[Tax Rate]]</f>
        <v>13348.5</v>
      </c>
      <c r="I9" s="5">
        <f>tbl_financials[[#This Row],[Net Income]]-tbl_financials[[#This Row],[Tax Amount]]</f>
        <v>40045.5</v>
      </c>
      <c r="J9" s="29">
        <f>tbl_financials[[#This Row],[Net Income]]/tbl_financials[[#This Row],[Revenue]]</f>
        <v>0.22845773698735639</v>
      </c>
      <c r="K9" s="29">
        <f>tbl_financials[[#This Row],[EBITDA]]/tbl_financials[[#This Row],[Revenue]]</f>
        <v>0.35293840788995146</v>
      </c>
      <c r="L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0.2785634180365984</v>
      </c>
      <c r="M9" s="35">
        <f>IFERROR((tbl_financials[[#This Row],[Net Income]]-INDEX(tbl_financials[Net Income],MATCH(tbl_financials[[#This Row],[PreviousKey]],tbl_financials[Key],0)))/INDEX(tbl_financials[Net Income],MATCH(tbl_financials[[#This Row],[PreviousKey]],tbl_financials[Key],0)),"")</f>
        <v>0.35140470766894455</v>
      </c>
      <c r="N9" s="32" t="str">
        <f>tbl_financials[[#This Row],[Company ]]&amp;tbl_financials[[#This Row],[Year]]</f>
        <v>AAPL2015</v>
      </c>
      <c r="O9" s="32" t="str">
        <f>tbl_financials[[#This Row],[Company ]]&amp;(tbl_financials[[#This Row],[Year]]-1)</f>
        <v>AAPL2014</v>
      </c>
      <c r="P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 s="4"/>
    </row>
    <row r="10" spans="1:17" x14ac:dyDescent="0.3">
      <c r="A10" s="7">
        <v>2014</v>
      </c>
      <c r="B10" s="3" t="s">
        <v>23</v>
      </c>
      <c r="C10" s="3" t="s">
        <v>24</v>
      </c>
      <c r="D10" s="5">
        <v>182795</v>
      </c>
      <c r="E10" s="5">
        <v>39510</v>
      </c>
      <c r="F10" s="5">
        <v>60449</v>
      </c>
      <c r="G10" s="23">
        <f>VLOOKUP(tbl_financials[[#This Row],[Industry]],tbl_tax[[Industry]:[Tax Rate]],2,FALSE)</f>
        <v>0.25</v>
      </c>
      <c r="H10" s="5">
        <f>tbl_financials[[#This Row],[Net Income]]*tbl_financials[[#This Row],[Tax Rate]]</f>
        <v>9877.5</v>
      </c>
      <c r="I10" s="5">
        <f>tbl_financials[[#This Row],[Net Income]]-tbl_financials[[#This Row],[Tax Amount]]</f>
        <v>29632.5</v>
      </c>
      <c r="J10" s="29">
        <f>tbl_financials[[#This Row],[Net Income]]/tbl_financials[[#This Row],[Revenue]]</f>
        <v>0.21614376760852322</v>
      </c>
      <c r="K10" s="29">
        <f>tbl_financials[[#This Row],[EBITDA]]/tbl_financials[[#This Row],[Revenue]]</f>
        <v>0.3306928526491425</v>
      </c>
      <c r="L1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6.9539523725937621E-2</v>
      </c>
      <c r="M10" s="35">
        <f>IFERROR((tbl_financials[[#This Row],[Net Income]]-INDEX(tbl_financials[Net Income],MATCH(tbl_financials[[#This Row],[PreviousKey]],tbl_financials[Key],0)))/INDEX(tbl_financials[Net Income],MATCH(tbl_financials[[#This Row],[PreviousKey]],tbl_financials[Key],0)),"")</f>
        <v>6.677106677106677E-2</v>
      </c>
      <c r="N10" s="32" t="str">
        <f>tbl_financials[[#This Row],[Company ]]&amp;tbl_financials[[#This Row],[Year]]</f>
        <v>AAPL2014</v>
      </c>
      <c r="O10" s="32" t="str">
        <f>tbl_financials[[#This Row],[Company ]]&amp;(tbl_financials[[#This Row],[Year]]-1)</f>
        <v>AAPL2013</v>
      </c>
      <c r="P1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0" s="4"/>
    </row>
    <row r="11" spans="1:17" x14ac:dyDescent="0.3">
      <c r="A11" s="7">
        <v>2013</v>
      </c>
      <c r="B11" s="3" t="s">
        <v>23</v>
      </c>
      <c r="C11" s="3" t="s">
        <v>24</v>
      </c>
      <c r="D11" s="5">
        <v>170910</v>
      </c>
      <c r="E11" s="5">
        <v>37037</v>
      </c>
      <c r="F11" s="5">
        <v>55756</v>
      </c>
      <c r="G11" s="23">
        <f>VLOOKUP(tbl_financials[[#This Row],[Industry]],tbl_tax[[Industry]:[Tax Rate]],2,FALSE)</f>
        <v>0.25</v>
      </c>
      <c r="H11" s="5">
        <f>tbl_financials[[#This Row],[Net Income]]*tbl_financials[[#This Row],[Tax Rate]]</f>
        <v>9259.25</v>
      </c>
      <c r="I11" s="5">
        <f>tbl_financials[[#This Row],[Net Income]]-tbl_financials[[#This Row],[Tax Amount]]</f>
        <v>27777.75</v>
      </c>
      <c r="J11" s="29">
        <f>tbl_financials[[#This Row],[Net Income]]/tbl_financials[[#This Row],[Revenue]]</f>
        <v>0.21670469837926393</v>
      </c>
      <c r="K11" s="29">
        <f>tbl_financials[[#This Row],[EBITDA]]/tbl_financials[[#This Row],[Revenue]]</f>
        <v>0.32623017962670409</v>
      </c>
      <c r="L1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9.202085516395328E-2</v>
      </c>
      <c r="M11" s="35">
        <f>IFERROR((tbl_financials[[#This Row],[Net Income]]-INDEX(tbl_financials[Net Income],MATCH(tbl_financials[[#This Row],[PreviousKey]],tbl_financials[Key],0)))/INDEX(tbl_financials[Net Income],MATCH(tbl_financials[[#This Row],[PreviousKey]],tbl_financials[Key],0)),"")</f>
        <v>-0.11252486042220784</v>
      </c>
      <c r="N11" s="32" t="str">
        <f>tbl_financials[[#This Row],[Company ]]&amp;tbl_financials[[#This Row],[Year]]</f>
        <v>AAPL2013</v>
      </c>
      <c r="O11" s="32" t="str">
        <f>tbl_financials[[#This Row],[Company ]]&amp;(tbl_financials[[#This Row],[Year]]-1)</f>
        <v>AAPL2012</v>
      </c>
      <c r="P1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1" s="4"/>
    </row>
    <row r="12" spans="1:17" x14ac:dyDescent="0.3">
      <c r="A12" s="7">
        <v>2012</v>
      </c>
      <c r="B12" s="3" t="s">
        <v>23</v>
      </c>
      <c r="C12" s="3" t="s">
        <v>24</v>
      </c>
      <c r="D12" s="5">
        <v>156508</v>
      </c>
      <c r="E12" s="5">
        <v>41733</v>
      </c>
      <c r="F12" s="5">
        <v>58518</v>
      </c>
      <c r="G12" s="23">
        <f>VLOOKUP(tbl_financials[[#This Row],[Industry]],tbl_tax[[Industry]:[Tax Rate]],2,FALSE)</f>
        <v>0.25</v>
      </c>
      <c r="H12" s="5">
        <f>tbl_financials[[#This Row],[Net Income]]*tbl_financials[[#This Row],[Tax Rate]]</f>
        <v>10433.25</v>
      </c>
      <c r="I12" s="5">
        <f>tbl_financials[[#This Row],[Net Income]]-tbl_financials[[#This Row],[Tax Amount]]</f>
        <v>31299.75</v>
      </c>
      <c r="J12" s="29">
        <f>tbl_financials[[#This Row],[Net Income]]/tbl_financials[[#This Row],[Revenue]]</f>
        <v>0.26665090602397323</v>
      </c>
      <c r="K12" s="29">
        <f>tbl_financials[[#This Row],[EBITDA]]/tbl_financials[[#This Row],[Revenue]]</f>
        <v>0.37389781991974852</v>
      </c>
      <c r="L1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0.44581474193756987</v>
      </c>
      <c r="M12" s="35">
        <f>IFERROR((tbl_financials[[#This Row],[Net Income]]-INDEX(tbl_financials[Net Income],MATCH(tbl_financials[[#This Row],[PreviousKey]],tbl_financials[Key],0)))/INDEX(tbl_financials[Net Income],MATCH(tbl_financials[[#This Row],[PreviousKey]],tbl_financials[Key],0)),"")</f>
        <v>0.60994522027621323</v>
      </c>
      <c r="N12" s="32" t="str">
        <f>tbl_financials[[#This Row],[Company ]]&amp;tbl_financials[[#This Row],[Year]]</f>
        <v>AAPL2012</v>
      </c>
      <c r="O12" s="32" t="str">
        <f>tbl_financials[[#This Row],[Company ]]&amp;(tbl_financials[[#This Row],[Year]]-1)</f>
        <v>AAPL2011</v>
      </c>
      <c r="P1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 s="4"/>
    </row>
    <row r="13" spans="1:17" x14ac:dyDescent="0.3">
      <c r="A13" s="7">
        <v>2011</v>
      </c>
      <c r="B13" s="3" t="s">
        <v>23</v>
      </c>
      <c r="C13" s="3" t="s">
        <v>24</v>
      </c>
      <c r="D13" s="5">
        <v>108249</v>
      </c>
      <c r="E13" s="5">
        <v>25922</v>
      </c>
      <c r="F13" s="5">
        <v>35604</v>
      </c>
      <c r="G13" s="23">
        <f>VLOOKUP(tbl_financials[[#This Row],[Industry]],tbl_tax[[Industry]:[Tax Rate]],2,FALSE)</f>
        <v>0.25</v>
      </c>
      <c r="H13" s="5">
        <f>tbl_financials[[#This Row],[Net Income]]*tbl_financials[[#This Row],[Tax Rate]]</f>
        <v>6480.5</v>
      </c>
      <c r="I13" s="5">
        <f>tbl_financials[[#This Row],[Net Income]]-tbl_financials[[#This Row],[Tax Amount]]</f>
        <v>19441.5</v>
      </c>
      <c r="J13" s="29">
        <f>tbl_financials[[#This Row],[Net Income]]/tbl_financials[[#This Row],[Revenue]]</f>
        <v>0.2394664153941376</v>
      </c>
      <c r="K13" s="29">
        <f>tbl_financials[[#This Row],[EBITDA]]/tbl_financials[[#This Row],[Revenue]]</f>
        <v>0.3289083501926115</v>
      </c>
      <c r="L1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0.65962437715599842</v>
      </c>
      <c r="M13" s="35">
        <f>IFERROR((tbl_financials[[#This Row],[Net Income]]-INDEX(tbl_financials[Net Income],MATCH(tbl_financials[[#This Row],[PreviousKey]],tbl_financials[Key],0)))/INDEX(tbl_financials[Net Income],MATCH(tbl_financials[[#This Row],[PreviousKey]],tbl_financials[Key],0)),"")</f>
        <v>0.84985370727181897</v>
      </c>
      <c r="N13" s="32" t="str">
        <f>tbl_financials[[#This Row],[Company ]]&amp;tbl_financials[[#This Row],[Year]]</f>
        <v>AAPL2011</v>
      </c>
      <c r="O13" s="32" t="str">
        <f>tbl_financials[[#This Row],[Company ]]&amp;(tbl_financials[[#This Row],[Year]]-1)</f>
        <v>AAPL2010</v>
      </c>
      <c r="P1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3" s="4"/>
    </row>
    <row r="14" spans="1:17" x14ac:dyDescent="0.3">
      <c r="A14" s="7">
        <v>2010</v>
      </c>
      <c r="B14" s="3" t="s">
        <v>23</v>
      </c>
      <c r="C14" s="3" t="s">
        <v>24</v>
      </c>
      <c r="D14" s="5">
        <v>65225</v>
      </c>
      <c r="E14" s="5">
        <v>14013</v>
      </c>
      <c r="F14" s="5">
        <v>19412</v>
      </c>
      <c r="G14" s="23">
        <f>VLOOKUP(tbl_financials[[#This Row],[Industry]],tbl_tax[[Industry]:[Tax Rate]],2,FALSE)</f>
        <v>0.25</v>
      </c>
      <c r="H14" s="5">
        <f>tbl_financials[[#This Row],[Net Income]]*tbl_financials[[#This Row],[Tax Rate]]</f>
        <v>3503.25</v>
      </c>
      <c r="I14" s="5">
        <f>tbl_financials[[#This Row],[Net Income]]-tbl_financials[[#This Row],[Tax Amount]]</f>
        <v>10509.75</v>
      </c>
      <c r="J14" s="29">
        <f>tbl_financials[[#This Row],[Net Income]]/tbl_financials[[#This Row],[Revenue]]</f>
        <v>0.21484093522422384</v>
      </c>
      <c r="K14" s="29">
        <f>tbl_financials[[#This Row],[EBITDA]]/tbl_financials[[#This Row],[Revenue]]</f>
        <v>0.29761594480643927</v>
      </c>
      <c r="L1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0.52021908868430256</v>
      </c>
      <c r="M14" s="35">
        <f>IFERROR((tbl_financials[[#This Row],[Net Income]]-INDEX(tbl_financials[Net Income],MATCH(tbl_financials[[#This Row],[PreviousKey]],tbl_financials[Key],0)))/INDEX(tbl_financials[Net Income],MATCH(tbl_financials[[#This Row],[PreviousKey]],tbl_financials[Key],0)),"")</f>
        <v>0.70163934426229513</v>
      </c>
      <c r="N14" s="32" t="str">
        <f>tbl_financials[[#This Row],[Company ]]&amp;tbl_financials[[#This Row],[Year]]</f>
        <v>AAPL2010</v>
      </c>
      <c r="O14" s="32" t="str">
        <f>tbl_financials[[#This Row],[Company ]]&amp;(tbl_financials[[#This Row],[Year]]-1)</f>
        <v>AAPL2009</v>
      </c>
      <c r="P1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4" s="4"/>
    </row>
    <row r="15" spans="1:17" x14ac:dyDescent="0.3">
      <c r="A15" s="7">
        <v>2009</v>
      </c>
      <c r="B15" s="3" t="s">
        <v>23</v>
      </c>
      <c r="C15" s="3" t="s">
        <v>24</v>
      </c>
      <c r="D15" s="5">
        <v>42905</v>
      </c>
      <c r="E15" s="5">
        <v>8235</v>
      </c>
      <c r="F15" s="5">
        <v>12474</v>
      </c>
      <c r="G15" s="23">
        <f>VLOOKUP(tbl_financials[[#This Row],[Industry]],tbl_tax[[Industry]:[Tax Rate]],2,FALSE)</f>
        <v>0.25</v>
      </c>
      <c r="H15" s="5">
        <f>tbl_financials[[#This Row],[Net Income]]*tbl_financials[[#This Row],[Tax Rate]]</f>
        <v>2058.75</v>
      </c>
      <c r="I15" s="5">
        <f>tbl_financials[[#This Row],[Net Income]]-tbl_financials[[#This Row],[Tax Amount]]</f>
        <v>6176.25</v>
      </c>
      <c r="J15" s="29">
        <f>tbl_financials[[#This Row],[Net Income]]/tbl_financials[[#This Row],[Revenue]]</f>
        <v>0.19193567183311969</v>
      </c>
      <c r="K15" s="29">
        <f>tbl_financials[[#This Row],[EBITDA]]/tbl_financials[[#This Row],[Revenue]]</f>
        <v>0.29073534553082392</v>
      </c>
      <c r="L15"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15" s="35" t="str">
        <f>IFERROR((tbl_financials[[#This Row],[Net Income]]-INDEX(tbl_financials[Net Income],MATCH(tbl_financials[[#This Row],[PreviousKey]],tbl_financials[Key],0)))/INDEX(tbl_financials[Net Income],MATCH(tbl_financials[[#This Row],[PreviousKey]],tbl_financials[Key],0)),"")</f>
        <v/>
      </c>
      <c r="N15" s="32" t="str">
        <f>tbl_financials[[#This Row],[Company ]]&amp;tbl_financials[[#This Row],[Year]]</f>
        <v>AAPL2009</v>
      </c>
      <c r="O15" s="32" t="str">
        <f>tbl_financials[[#This Row],[Company ]]&amp;(tbl_financials[[#This Row],[Year]]-1)</f>
        <v>AAPL2008</v>
      </c>
      <c r="P15"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15" s="4"/>
    </row>
    <row r="16" spans="1:17" x14ac:dyDescent="0.3">
      <c r="A16" s="7">
        <v>2023</v>
      </c>
      <c r="B16" s="3" t="s">
        <v>25</v>
      </c>
      <c r="C16" s="3" t="s">
        <v>24</v>
      </c>
      <c r="D16" s="5">
        <v>211915</v>
      </c>
      <c r="E16" s="5">
        <v>72361</v>
      </c>
      <c r="F16" s="5">
        <v>102384</v>
      </c>
      <c r="G16" s="23">
        <f>VLOOKUP(tbl_financials[[#This Row],[Industry]],tbl_tax[[Industry]:[Tax Rate]],2,FALSE)</f>
        <v>0.25</v>
      </c>
      <c r="H16" s="5">
        <f>tbl_financials[[#This Row],[Net Income]]*tbl_financials[[#This Row],[Tax Rate]]</f>
        <v>18090.25</v>
      </c>
      <c r="I16" s="5">
        <f>tbl_financials[[#This Row],[Net Income]]-tbl_financials[[#This Row],[Tax Amount]]</f>
        <v>54270.75</v>
      </c>
      <c r="J16" s="29">
        <f>tbl_financials[[#This Row],[Net Income]]/tbl_financials[[#This Row],[Revenue]]</f>
        <v>0.34146237878394642</v>
      </c>
      <c r="K16" s="29">
        <f>tbl_financials[[#This Row],[EBITDA]]/tbl_financials[[#This Row],[Revenue]]</f>
        <v>0.48313710685888211</v>
      </c>
      <c r="L1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6.8820295556564284E-2</v>
      </c>
      <c r="M16" s="35">
        <f>IFERROR((tbl_financials[[#This Row],[Net Income]]-INDEX(tbl_financials[Net Income],MATCH(tbl_financials[[#This Row],[PreviousKey]],tbl_financials[Key],0)))/INDEX(tbl_financials[Net Income],MATCH(tbl_financials[[#This Row],[PreviousKey]],tbl_financials[Key],0)),"")</f>
        <v>-5.1829855096373282E-3</v>
      </c>
      <c r="N16" s="32" t="str">
        <f>tbl_financials[[#This Row],[Company ]]&amp;tbl_financials[[#This Row],[Year]]</f>
        <v>MSFT2023</v>
      </c>
      <c r="O16" s="32" t="str">
        <f>tbl_financials[[#This Row],[Company ]]&amp;(tbl_financials[[#This Row],[Year]]-1)</f>
        <v>MSFT2022</v>
      </c>
      <c r="P1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6" s="4"/>
    </row>
    <row r="17" spans="1:17" x14ac:dyDescent="0.3">
      <c r="A17" s="7">
        <v>2022</v>
      </c>
      <c r="B17" s="3" t="s">
        <v>25</v>
      </c>
      <c r="C17" s="3" t="s">
        <v>24</v>
      </c>
      <c r="D17" s="5">
        <v>198270</v>
      </c>
      <c r="E17" s="5">
        <v>72738</v>
      </c>
      <c r="F17" s="5">
        <v>97843</v>
      </c>
      <c r="G17" s="23">
        <f>VLOOKUP(tbl_financials[[#This Row],[Industry]],tbl_tax[[Industry]:[Tax Rate]],2,FALSE)</f>
        <v>0.25</v>
      </c>
      <c r="H17" s="5">
        <f>tbl_financials[[#This Row],[Net Income]]*tbl_financials[[#This Row],[Tax Rate]]</f>
        <v>18184.5</v>
      </c>
      <c r="I17" s="5">
        <f>tbl_financials[[#This Row],[Net Income]]-tbl_financials[[#This Row],[Tax Amount]]</f>
        <v>54553.5</v>
      </c>
      <c r="J17" s="29">
        <f>tbl_financials[[#This Row],[Net Income]]/tbl_financials[[#This Row],[Revenue]]</f>
        <v>0.36686336813436221</v>
      </c>
      <c r="K17" s="29">
        <f>tbl_financials[[#This Row],[EBITDA]]/tbl_financials[[#This Row],[Revenue]]</f>
        <v>0.49348363342916224</v>
      </c>
      <c r="L1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0.17956070629670173</v>
      </c>
      <c r="M17" s="35">
        <f>IFERROR((tbl_financials[[#This Row],[Net Income]]-INDEX(tbl_financials[Net Income],MATCH(tbl_financials[[#This Row],[PreviousKey]],tbl_financials[Key],0)))/INDEX(tbl_financials[Net Income],MATCH(tbl_financials[[#This Row],[PreviousKey]],tbl_financials[Key],0)),"")</f>
        <v>0.18715216007572913</v>
      </c>
      <c r="N17" s="32" t="str">
        <f>tbl_financials[[#This Row],[Company ]]&amp;tbl_financials[[#This Row],[Year]]</f>
        <v>MSFT2022</v>
      </c>
      <c r="O17" s="32" t="str">
        <f>tbl_financials[[#This Row],[Company ]]&amp;(tbl_financials[[#This Row],[Year]]-1)</f>
        <v>MSFT2021</v>
      </c>
      <c r="P1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7" s="4"/>
    </row>
    <row r="18" spans="1:17" x14ac:dyDescent="0.3">
      <c r="A18" s="7">
        <v>2021</v>
      </c>
      <c r="B18" s="3" t="s">
        <v>25</v>
      </c>
      <c r="C18" s="3" t="s">
        <v>24</v>
      </c>
      <c r="D18" s="5">
        <v>168088</v>
      </c>
      <c r="E18" s="5">
        <v>61271</v>
      </c>
      <c r="F18" s="5">
        <v>81602</v>
      </c>
      <c r="G18" s="23">
        <f>VLOOKUP(tbl_financials[[#This Row],[Industry]],tbl_tax[[Industry]:[Tax Rate]],2,FALSE)</f>
        <v>0.25</v>
      </c>
      <c r="H18" s="5">
        <f>tbl_financials[[#This Row],[Net Income]]*tbl_financials[[#This Row],[Tax Rate]]</f>
        <v>15317.75</v>
      </c>
      <c r="I18" s="5">
        <f>tbl_financials[[#This Row],[Net Income]]-tbl_financials[[#This Row],[Tax Amount]]</f>
        <v>45953.25</v>
      </c>
      <c r="J18" s="29">
        <f>tbl_financials[[#This Row],[Net Income]]/tbl_financials[[#This Row],[Revenue]]</f>
        <v>0.36451739564989766</v>
      </c>
      <c r="K18" s="29">
        <f>tbl_financials[[#This Row],[EBITDA]]/tbl_financials[[#This Row],[Revenue]]</f>
        <v>0.48547189567369475</v>
      </c>
      <c r="L1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0.175317274411775</v>
      </c>
      <c r="M18" s="35">
        <f>IFERROR((tbl_financials[[#This Row],[Net Income]]-INDEX(tbl_financials[Net Income],MATCH(tbl_financials[[#This Row],[PreviousKey]],tbl_financials[Key],0)))/INDEX(tbl_financials[Net Income],MATCH(tbl_financials[[#This Row],[PreviousKey]],tbl_financials[Key],0)),"")</f>
        <v>0.38368600528443353</v>
      </c>
      <c r="N18" s="32" t="str">
        <f>tbl_financials[[#This Row],[Company ]]&amp;tbl_financials[[#This Row],[Year]]</f>
        <v>MSFT2021</v>
      </c>
      <c r="O18" s="32" t="str">
        <f>tbl_financials[[#This Row],[Company ]]&amp;(tbl_financials[[#This Row],[Year]]-1)</f>
        <v>MSFT2020</v>
      </c>
      <c r="P1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8" s="4"/>
    </row>
    <row r="19" spans="1:17" x14ac:dyDescent="0.3">
      <c r="A19" s="7">
        <v>2020</v>
      </c>
      <c r="B19" s="3" t="s">
        <v>25</v>
      </c>
      <c r="C19" s="3" t="s">
        <v>24</v>
      </c>
      <c r="D19" s="5">
        <v>143015</v>
      </c>
      <c r="E19" s="5">
        <v>44281</v>
      </c>
      <c r="F19" s="5">
        <v>65755</v>
      </c>
      <c r="G19" s="23">
        <f>VLOOKUP(tbl_financials[[#This Row],[Industry]],tbl_tax[[Industry]:[Tax Rate]],2,FALSE)</f>
        <v>0.25</v>
      </c>
      <c r="H19" s="5">
        <f>tbl_financials[[#This Row],[Net Income]]*tbl_financials[[#This Row],[Tax Rate]]</f>
        <v>11070.25</v>
      </c>
      <c r="I19" s="5">
        <f>tbl_financials[[#This Row],[Net Income]]-tbl_financials[[#This Row],[Tax Amount]]</f>
        <v>33210.75</v>
      </c>
      <c r="J19" s="29">
        <f>tbl_financials[[#This Row],[Net Income]]/tbl_financials[[#This Row],[Revenue]]</f>
        <v>0.30962486452470023</v>
      </c>
      <c r="K19" s="29">
        <f>tbl_financials[[#This Row],[EBITDA]]/tbl_financials[[#This Row],[Revenue]]</f>
        <v>0.45977694647414608</v>
      </c>
      <c r="L1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0.13645574247276368</v>
      </c>
      <c r="M19" s="35">
        <f>IFERROR((tbl_financials[[#This Row],[Net Income]]-INDEX(tbl_financials[Net Income],MATCH(tbl_financials[[#This Row],[PreviousKey]],tbl_financials[Key],0)))/INDEX(tbl_financials[Net Income],MATCH(tbl_financials[[#This Row],[PreviousKey]],tbl_financials[Key],0)),"")</f>
        <v>0.12846585117227319</v>
      </c>
      <c r="N19" s="32" t="str">
        <f>tbl_financials[[#This Row],[Company ]]&amp;tbl_financials[[#This Row],[Year]]</f>
        <v>MSFT2020</v>
      </c>
      <c r="O19" s="32" t="str">
        <f>tbl_financials[[#This Row],[Company ]]&amp;(tbl_financials[[#This Row],[Year]]-1)</f>
        <v>MSFT2019</v>
      </c>
      <c r="P1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9" s="4"/>
    </row>
    <row r="20" spans="1:17" x14ac:dyDescent="0.3">
      <c r="A20" s="7">
        <v>2019</v>
      </c>
      <c r="B20" s="3" t="s">
        <v>25</v>
      </c>
      <c r="C20" s="3" t="s">
        <v>24</v>
      </c>
      <c r="D20" s="5">
        <v>125843</v>
      </c>
      <c r="E20" s="5">
        <v>39240</v>
      </c>
      <c r="F20" s="5">
        <v>54641</v>
      </c>
      <c r="G20" s="23">
        <f>VLOOKUP(tbl_financials[[#This Row],[Industry]],tbl_tax[[Industry]:[Tax Rate]],2,FALSE)</f>
        <v>0.25</v>
      </c>
      <c r="H20" s="5">
        <f>tbl_financials[[#This Row],[Net Income]]*tbl_financials[[#This Row],[Tax Rate]]</f>
        <v>9810</v>
      </c>
      <c r="I20" s="5">
        <f>tbl_financials[[#This Row],[Net Income]]-tbl_financials[[#This Row],[Tax Amount]]</f>
        <v>29430</v>
      </c>
      <c r="J20" s="29">
        <f>tbl_financials[[#This Row],[Net Income]]/tbl_financials[[#This Row],[Revenue]]</f>
        <v>0.31181710544090652</v>
      </c>
      <c r="K20" s="29">
        <f>tbl_financials[[#This Row],[EBITDA]]/tbl_financials[[#This Row],[Revenue]]</f>
        <v>0.43419975683987189</v>
      </c>
      <c r="L2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0.14029539688292861</v>
      </c>
      <c r="M20" s="35">
        <f>IFERROR((tbl_financials[[#This Row],[Net Income]]-INDEX(tbl_financials[Net Income],MATCH(tbl_financials[[#This Row],[PreviousKey]],tbl_financials[Key],0)))/INDEX(tbl_financials[Net Income],MATCH(tbl_financials[[#This Row],[PreviousKey]],tbl_financials[Key],0)),"")</f>
        <v>1.3679922756623015</v>
      </c>
      <c r="N20" s="32" t="str">
        <f>tbl_financials[[#This Row],[Company ]]&amp;tbl_financials[[#This Row],[Year]]</f>
        <v>MSFT2019</v>
      </c>
      <c r="O20" s="32" t="str">
        <f>tbl_financials[[#This Row],[Company ]]&amp;(tbl_financials[[#This Row],[Year]]-1)</f>
        <v>MSFT2018</v>
      </c>
      <c r="P20"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20" s="4"/>
    </row>
    <row r="21" spans="1:17" x14ac:dyDescent="0.3">
      <c r="A21" s="7">
        <v>2018</v>
      </c>
      <c r="B21" s="3" t="s">
        <v>25</v>
      </c>
      <c r="C21" s="3" t="s">
        <v>24</v>
      </c>
      <c r="D21" s="5">
        <v>110360</v>
      </c>
      <c r="E21" s="5">
        <v>16571</v>
      </c>
      <c r="F21" s="5">
        <v>45319</v>
      </c>
      <c r="G21" s="23">
        <f>VLOOKUP(tbl_financials[[#This Row],[Industry]],tbl_tax[[Industry]:[Tax Rate]],2,FALSE)</f>
        <v>0.25</v>
      </c>
      <c r="H21" s="5">
        <f>tbl_financials[[#This Row],[Net Income]]*tbl_financials[[#This Row],[Tax Rate]]</f>
        <v>4142.75</v>
      </c>
      <c r="I21" s="5">
        <f>tbl_financials[[#This Row],[Net Income]]-tbl_financials[[#This Row],[Tax Amount]]</f>
        <v>12428.25</v>
      </c>
      <c r="J21" s="29">
        <f>tbl_financials[[#This Row],[Net Income]]/tbl_financials[[#This Row],[Revenue]]</f>
        <v>0.15015404131931859</v>
      </c>
      <c r="K21" s="29">
        <f>tbl_financials[[#This Row],[EBITDA]]/tbl_financials[[#This Row],[Revenue]]</f>
        <v>0.41064697354113811</v>
      </c>
      <c r="L2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0.14278613662486667</v>
      </c>
      <c r="M21" s="35">
        <f>IFERROR((tbl_financials[[#This Row],[Net Income]]-INDEX(tbl_financials[Net Income],MATCH(tbl_financials[[#This Row],[PreviousKey]],tbl_financials[Key],0)))/INDEX(tbl_financials[Net Income],MATCH(tbl_financials[[#This Row],[PreviousKey]],tbl_financials[Key],0)),"")</f>
        <v>-0.34987641727804153</v>
      </c>
      <c r="N21" s="32" t="str">
        <f>tbl_financials[[#This Row],[Company ]]&amp;tbl_financials[[#This Row],[Year]]</f>
        <v>MSFT2018</v>
      </c>
      <c r="O21" s="32" t="str">
        <f>tbl_financials[[#This Row],[Company ]]&amp;(tbl_financials[[#This Row],[Year]]-1)</f>
        <v>MSFT2017</v>
      </c>
      <c r="P2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1" s="4"/>
    </row>
    <row r="22" spans="1:17" x14ac:dyDescent="0.3">
      <c r="A22" s="7">
        <v>2017</v>
      </c>
      <c r="B22" s="3" t="s">
        <v>25</v>
      </c>
      <c r="C22" s="3" t="s">
        <v>24</v>
      </c>
      <c r="D22" s="5">
        <v>96571</v>
      </c>
      <c r="E22" s="5">
        <v>25489</v>
      </c>
      <c r="F22" s="5">
        <v>37803</v>
      </c>
      <c r="G22" s="23">
        <f>VLOOKUP(tbl_financials[[#This Row],[Industry]],tbl_tax[[Industry]:[Tax Rate]],2,FALSE)</f>
        <v>0.25</v>
      </c>
      <c r="H22" s="5">
        <f>tbl_financials[[#This Row],[Net Income]]*tbl_financials[[#This Row],[Tax Rate]]</f>
        <v>6372.25</v>
      </c>
      <c r="I22" s="5">
        <f>tbl_financials[[#This Row],[Net Income]]-tbl_financials[[#This Row],[Tax Amount]]</f>
        <v>19116.75</v>
      </c>
      <c r="J22" s="29">
        <f>tbl_financials[[#This Row],[Net Income]]/tbl_financials[[#This Row],[Revenue]]</f>
        <v>0.26394052044609667</v>
      </c>
      <c r="K22" s="29">
        <f>tbl_financials[[#This Row],[EBITDA]]/tbl_financials[[#This Row],[Revenue]]</f>
        <v>0.39145292064905612</v>
      </c>
      <c r="L2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5.9426903920837264E-2</v>
      </c>
      <c r="M22" s="35">
        <f>IFERROR((tbl_financials[[#This Row],[Net Income]]-INDEX(tbl_financials[Net Income],MATCH(tbl_financials[[#This Row],[PreviousKey]],tbl_financials[Key],0)))/INDEX(tbl_financials[Net Income],MATCH(tbl_financials[[#This Row],[PreviousKey]],tbl_financials[Key],0)),"")</f>
        <v>0.24100491747407371</v>
      </c>
      <c r="N22" s="32" t="str">
        <f>tbl_financials[[#This Row],[Company ]]&amp;tbl_financials[[#This Row],[Year]]</f>
        <v>MSFT2017</v>
      </c>
      <c r="O22" s="32" t="str">
        <f>tbl_financials[[#This Row],[Company ]]&amp;(tbl_financials[[#This Row],[Year]]-1)</f>
        <v>MSFT2016</v>
      </c>
      <c r="P2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2" s="4"/>
    </row>
    <row r="23" spans="1:17" x14ac:dyDescent="0.3">
      <c r="A23" s="7">
        <v>2016</v>
      </c>
      <c r="B23" s="3" t="s">
        <v>25</v>
      </c>
      <c r="C23" s="3" t="s">
        <v>24</v>
      </c>
      <c r="D23" s="5">
        <v>91154</v>
      </c>
      <c r="E23" s="5">
        <v>20539</v>
      </c>
      <c r="F23" s="5">
        <v>33330</v>
      </c>
      <c r="G23" s="23">
        <f>VLOOKUP(tbl_financials[[#This Row],[Industry]],tbl_tax[[Industry]:[Tax Rate]],2,FALSE)</f>
        <v>0.25</v>
      </c>
      <c r="H23" s="5">
        <f>tbl_financials[[#This Row],[Net Income]]*tbl_financials[[#This Row],[Tax Rate]]</f>
        <v>5134.75</v>
      </c>
      <c r="I23" s="5">
        <f>tbl_financials[[#This Row],[Net Income]]-tbl_financials[[#This Row],[Tax Amount]]</f>
        <v>15404.25</v>
      </c>
      <c r="J23" s="29">
        <f>tbl_financials[[#This Row],[Net Income]]/tbl_financials[[#This Row],[Revenue]]</f>
        <v>0.22532198257893235</v>
      </c>
      <c r="K23" s="29">
        <f>tbl_financials[[#This Row],[EBITDA]]/tbl_financials[[#This Row],[Revenue]]</f>
        <v>0.36564495249797047</v>
      </c>
      <c r="L2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-2.592434280829237E-2</v>
      </c>
      <c r="M23" s="35">
        <f>IFERROR((tbl_financials[[#This Row],[Net Income]]-INDEX(tbl_financials[Net Income],MATCH(tbl_financials[[#This Row],[PreviousKey]],tbl_financials[Key],0)))/INDEX(tbl_financials[Net Income],MATCH(tbl_financials[[#This Row],[PreviousKey]],tbl_financials[Key],0)),"")</f>
        <v>0.68449110145165259</v>
      </c>
      <c r="N23" s="32" t="str">
        <f>tbl_financials[[#This Row],[Company ]]&amp;tbl_financials[[#This Row],[Year]]</f>
        <v>MSFT2016</v>
      </c>
      <c r="O23" s="32" t="str">
        <f>tbl_financials[[#This Row],[Company ]]&amp;(tbl_financials[[#This Row],[Year]]-1)</f>
        <v>MSFT2015</v>
      </c>
      <c r="P2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3" s="4"/>
    </row>
    <row r="24" spans="1:17" x14ac:dyDescent="0.3">
      <c r="A24" s="7">
        <v>2015</v>
      </c>
      <c r="B24" s="3" t="s">
        <v>25</v>
      </c>
      <c r="C24" s="3" t="s">
        <v>24</v>
      </c>
      <c r="D24" s="5">
        <v>93580</v>
      </c>
      <c r="E24" s="5">
        <v>12193</v>
      </c>
      <c r="F24" s="5">
        <v>31616</v>
      </c>
      <c r="G24" s="23">
        <f>VLOOKUP(tbl_financials[[#This Row],[Industry]],tbl_tax[[Industry]:[Tax Rate]],2,FALSE)</f>
        <v>0.25</v>
      </c>
      <c r="H24" s="5">
        <f>tbl_financials[[#This Row],[Net Income]]*tbl_financials[[#This Row],[Tax Rate]]</f>
        <v>3048.25</v>
      </c>
      <c r="I24" s="5">
        <f>tbl_financials[[#This Row],[Net Income]]-tbl_financials[[#This Row],[Tax Amount]]</f>
        <v>9144.75</v>
      </c>
      <c r="J24" s="29">
        <f>tbl_financials[[#This Row],[Net Income]]/tbl_financials[[#This Row],[Revenue]]</f>
        <v>0.13029493481513144</v>
      </c>
      <c r="K24" s="29">
        <f>tbl_financials[[#This Row],[EBITDA]]/tbl_financials[[#This Row],[Revenue]]</f>
        <v>0.33784996794186795</v>
      </c>
      <c r="L2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7.7700874091647179E-2</v>
      </c>
      <c r="M24" s="35">
        <f>IFERROR((tbl_financials[[#This Row],[Net Income]]-INDEX(tbl_financials[Net Income],MATCH(tbl_financials[[#This Row],[PreviousKey]],tbl_financials[Key],0)))/INDEX(tbl_financials[Net Income],MATCH(tbl_financials[[#This Row],[PreviousKey]],tbl_financials[Key],0)),"")</f>
        <v>-0.44763069674730455</v>
      </c>
      <c r="N24" s="32" t="str">
        <f>tbl_financials[[#This Row],[Company ]]&amp;tbl_financials[[#This Row],[Year]]</f>
        <v>MSFT2015</v>
      </c>
      <c r="O24" s="32" t="str">
        <f>tbl_financials[[#This Row],[Company ]]&amp;(tbl_financials[[#This Row],[Year]]-1)</f>
        <v>MSFT2014</v>
      </c>
      <c r="P2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4" s="4"/>
    </row>
    <row r="25" spans="1:17" x14ac:dyDescent="0.3">
      <c r="A25" s="7">
        <v>2014</v>
      </c>
      <c r="B25" s="3" t="s">
        <v>25</v>
      </c>
      <c r="C25" s="3" t="s">
        <v>24</v>
      </c>
      <c r="D25" s="5">
        <v>86833</v>
      </c>
      <c r="E25" s="5">
        <v>22074</v>
      </c>
      <c r="F25" s="5">
        <v>32971</v>
      </c>
      <c r="G25" s="23">
        <f>VLOOKUP(tbl_financials[[#This Row],[Industry]],tbl_tax[[Industry]:[Tax Rate]],2,FALSE)</f>
        <v>0.25</v>
      </c>
      <c r="H25" s="5">
        <f>tbl_financials[[#This Row],[Net Income]]*tbl_financials[[#This Row],[Tax Rate]]</f>
        <v>5518.5</v>
      </c>
      <c r="I25" s="5">
        <f>tbl_financials[[#This Row],[Net Income]]-tbl_financials[[#This Row],[Tax Amount]]</f>
        <v>16555.5</v>
      </c>
      <c r="J25" s="29">
        <f>tbl_financials[[#This Row],[Net Income]]/tbl_financials[[#This Row],[Revenue]]</f>
        <v>0.25421210829983992</v>
      </c>
      <c r="K25" s="29">
        <f>tbl_financials[[#This Row],[EBITDA]]/tbl_financials[[#This Row],[Revenue]]</f>
        <v>0.37970587219144797</v>
      </c>
      <c r="L2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0.11540289534868785</v>
      </c>
      <c r="M25" s="35">
        <f>IFERROR((tbl_financials[[#This Row],[Net Income]]-INDEX(tbl_financials[Net Income],MATCH(tbl_financials[[#This Row],[PreviousKey]],tbl_financials[Key],0)))/INDEX(tbl_financials[Net Income],MATCH(tbl_financials[[#This Row],[PreviousKey]],tbl_financials[Key],0)),"")</f>
        <v>9.6510085532635053E-3</v>
      </c>
      <c r="N25" s="32" t="str">
        <f>tbl_financials[[#This Row],[Company ]]&amp;tbl_financials[[#This Row],[Year]]</f>
        <v>MSFT2014</v>
      </c>
      <c r="O25" s="32" t="str">
        <f>tbl_financials[[#This Row],[Company ]]&amp;(tbl_financials[[#This Row],[Year]]-1)</f>
        <v>MSFT2013</v>
      </c>
      <c r="P25"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5" s="4"/>
    </row>
    <row r="26" spans="1:17" x14ac:dyDescent="0.3">
      <c r="A26" s="7">
        <v>2013</v>
      </c>
      <c r="B26" s="3" t="s">
        <v>25</v>
      </c>
      <c r="C26" s="3" t="s">
        <v>24</v>
      </c>
      <c r="D26" s="5">
        <v>77849</v>
      </c>
      <c r="E26" s="5">
        <v>21863</v>
      </c>
      <c r="F26" s="5">
        <v>30519</v>
      </c>
      <c r="G26" s="23">
        <f>VLOOKUP(tbl_financials[[#This Row],[Industry]],tbl_tax[[Industry]:[Tax Rate]],2,FALSE)</f>
        <v>0.25</v>
      </c>
      <c r="H26" s="5">
        <f>tbl_financials[[#This Row],[Net Income]]*tbl_financials[[#This Row],[Tax Rate]]</f>
        <v>5465.75</v>
      </c>
      <c r="I26" s="5">
        <f>tbl_financials[[#This Row],[Net Income]]-tbl_financials[[#This Row],[Tax Amount]]</f>
        <v>16397.25</v>
      </c>
      <c r="J26" s="29">
        <f>tbl_financials[[#This Row],[Net Income]]/tbl_financials[[#This Row],[Revenue]]</f>
        <v>0.28083854641678119</v>
      </c>
      <c r="K26" s="29">
        <f>tbl_financials[[#This Row],[EBITDA]]/tbl_financials[[#This Row],[Revenue]]</f>
        <v>0.39202815707330857</v>
      </c>
      <c r="L2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5.5966252051598553E-2</v>
      </c>
      <c r="M26" s="35">
        <f>IFERROR((tbl_financials[[#This Row],[Net Income]]-INDEX(tbl_financials[Net Income],MATCH(tbl_financials[[#This Row],[PreviousKey]],tbl_financials[Key],0)))/INDEX(tbl_financials[Net Income],MATCH(tbl_financials[[#This Row],[PreviousKey]],tbl_financials[Key],0)),"")</f>
        <v>0.28772529155377546</v>
      </c>
      <c r="N26" s="32" t="str">
        <f>tbl_financials[[#This Row],[Company ]]&amp;tbl_financials[[#This Row],[Year]]</f>
        <v>MSFT2013</v>
      </c>
      <c r="O26" s="32" t="str">
        <f>tbl_financials[[#This Row],[Company ]]&amp;(tbl_financials[[#This Row],[Year]]-1)</f>
        <v>MSFT2012</v>
      </c>
      <c r="P2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6" s="4"/>
    </row>
    <row r="27" spans="1:17" x14ac:dyDescent="0.3">
      <c r="A27" s="7">
        <v>2012</v>
      </c>
      <c r="B27" s="3" t="s">
        <v>25</v>
      </c>
      <c r="C27" s="3" t="s">
        <v>24</v>
      </c>
      <c r="D27" s="5">
        <v>73723</v>
      </c>
      <c r="E27" s="5">
        <v>16978</v>
      </c>
      <c r="F27" s="5">
        <v>30923</v>
      </c>
      <c r="G27" s="23">
        <f>VLOOKUP(tbl_financials[[#This Row],[Industry]],tbl_tax[[Industry]:[Tax Rate]],2,FALSE)</f>
        <v>0.25</v>
      </c>
      <c r="H27" s="5">
        <f>tbl_financials[[#This Row],[Net Income]]*tbl_financials[[#This Row],[Tax Rate]]</f>
        <v>4244.5</v>
      </c>
      <c r="I27" s="5">
        <f>tbl_financials[[#This Row],[Net Income]]-tbl_financials[[#This Row],[Tax Amount]]</f>
        <v>12733.5</v>
      </c>
      <c r="J27" s="29">
        <f>tbl_financials[[#This Row],[Net Income]]/tbl_financials[[#This Row],[Revenue]]</f>
        <v>0.23029448069123612</v>
      </c>
      <c r="K27" s="29">
        <f>tbl_financials[[#This Row],[EBITDA]]/tbl_financials[[#This Row],[Revenue]]</f>
        <v>0.41944847605224966</v>
      </c>
      <c r="L2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5.404400726305706E-2</v>
      </c>
      <c r="M27" s="35">
        <f>IFERROR((tbl_financials[[#This Row],[Net Income]]-INDEX(tbl_financials[Net Income],MATCH(tbl_financials[[#This Row],[PreviousKey]],tbl_financials[Key],0)))/INDEX(tbl_financials[Net Income],MATCH(tbl_financials[[#This Row],[PreviousKey]],tbl_financials[Key],0)),"")</f>
        <v>-0.26660907127429806</v>
      </c>
      <c r="N27" s="32" t="str">
        <f>tbl_financials[[#This Row],[Company ]]&amp;tbl_financials[[#This Row],[Year]]</f>
        <v>MSFT2012</v>
      </c>
      <c r="O27" s="32" t="str">
        <f>tbl_financials[[#This Row],[Company ]]&amp;(tbl_financials[[#This Row],[Year]]-1)</f>
        <v>MSFT2011</v>
      </c>
      <c r="P2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7" s="4"/>
    </row>
    <row r="28" spans="1:17" x14ac:dyDescent="0.3">
      <c r="A28" s="7">
        <v>2011</v>
      </c>
      <c r="B28" s="3" t="s">
        <v>25</v>
      </c>
      <c r="C28" s="3" t="s">
        <v>24</v>
      </c>
      <c r="D28" s="5">
        <v>69943</v>
      </c>
      <c r="E28" s="5">
        <v>23150</v>
      </c>
      <c r="F28" s="5">
        <v>29927</v>
      </c>
      <c r="G28" s="23">
        <f>VLOOKUP(tbl_financials[[#This Row],[Industry]],tbl_tax[[Industry]:[Tax Rate]],2,FALSE)</f>
        <v>0.25</v>
      </c>
      <c r="H28" s="5">
        <f>tbl_financials[[#This Row],[Net Income]]*tbl_financials[[#This Row],[Tax Rate]]</f>
        <v>5787.5</v>
      </c>
      <c r="I28" s="5">
        <f>tbl_financials[[#This Row],[Net Income]]-tbl_financials[[#This Row],[Tax Amount]]</f>
        <v>17362.5</v>
      </c>
      <c r="J28" s="29">
        <f>tbl_financials[[#This Row],[Net Income]]/tbl_financials[[#This Row],[Revenue]]</f>
        <v>0.3309838010951775</v>
      </c>
      <c r="K28" s="29">
        <f>tbl_financials[[#This Row],[EBITDA]]/tbl_financials[[#This Row],[Revenue]]</f>
        <v>0.42787698554537268</v>
      </c>
      <c r="L2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0.11937455988733116</v>
      </c>
      <c r="M28" s="35">
        <f>IFERROR((tbl_financials[[#This Row],[Net Income]]-INDEX(tbl_financials[Net Income],MATCH(tbl_financials[[#This Row],[PreviousKey]],tbl_financials[Key],0)))/INDEX(tbl_financials[Net Income],MATCH(tbl_financials[[#This Row],[PreviousKey]],tbl_financials[Key],0)),"")</f>
        <v>0.2340085287846482</v>
      </c>
      <c r="N28" s="32" t="str">
        <f>tbl_financials[[#This Row],[Company ]]&amp;tbl_financials[[#This Row],[Year]]</f>
        <v>MSFT2011</v>
      </c>
      <c r="O28" s="32" t="str">
        <f>tbl_financials[[#This Row],[Company ]]&amp;(tbl_financials[[#This Row],[Year]]-1)</f>
        <v>MSFT2010</v>
      </c>
      <c r="P2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8" s="4"/>
    </row>
    <row r="29" spans="1:17" x14ac:dyDescent="0.3">
      <c r="A29" s="7">
        <v>2010</v>
      </c>
      <c r="B29" s="3" t="s">
        <v>25</v>
      </c>
      <c r="C29" s="3" t="s">
        <v>24</v>
      </c>
      <c r="D29" s="5">
        <v>62484</v>
      </c>
      <c r="E29" s="5">
        <v>18760</v>
      </c>
      <c r="F29" s="5">
        <v>26771</v>
      </c>
      <c r="G29" s="23">
        <f>VLOOKUP(tbl_financials[[#This Row],[Industry]],tbl_tax[[Industry]:[Tax Rate]],2,FALSE)</f>
        <v>0.25</v>
      </c>
      <c r="H29" s="5">
        <f>tbl_financials[[#This Row],[Net Income]]*tbl_financials[[#This Row],[Tax Rate]]</f>
        <v>4690</v>
      </c>
      <c r="I29" s="5">
        <f>tbl_financials[[#This Row],[Net Income]]-tbl_financials[[#This Row],[Tax Amount]]</f>
        <v>14070</v>
      </c>
      <c r="J29" s="29">
        <f>tbl_financials[[#This Row],[Net Income]]/tbl_financials[[#This Row],[Revenue]]</f>
        <v>0.30023686063632288</v>
      </c>
      <c r="K29" s="29">
        <f>tbl_financials[[#This Row],[EBITDA]]/tbl_financials[[#This Row],[Revenue]]</f>
        <v>0.4284456820946162</v>
      </c>
      <c r="L29"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29" s="35">
        <f>IFERROR((tbl_financials[[#This Row],[Net Income]]-INDEX(tbl_financials[Net Income],MATCH(tbl_financials[[#This Row],[PreviousKey]],tbl_financials[Key],0)))/INDEX(tbl_financials[Net Income],MATCH(tbl_financials[[#This Row],[PreviousKey]],tbl_financials[Key],0)),"")</f>
        <v>0.28766559132404418</v>
      </c>
      <c r="N29" s="32" t="str">
        <f>tbl_financials[[#This Row],[Company ]]&amp;tbl_financials[[#This Row],[Year]]</f>
        <v>MSFT2010</v>
      </c>
      <c r="O29" s="32" t="str">
        <f>tbl_financials[[#This Row],[Company ]]&amp;(tbl_financials[[#This Row],[Year]]-1)</f>
        <v>MSFT2009</v>
      </c>
      <c r="P2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29" s="4"/>
    </row>
    <row r="30" spans="1:17" x14ac:dyDescent="0.3">
      <c r="A30" s="7">
        <v>2009</v>
      </c>
      <c r="B30" s="3" t="s">
        <v>25</v>
      </c>
      <c r="C30" s="3" t="s">
        <v>24</v>
      </c>
      <c r="D30" s="5"/>
      <c r="E30" s="5">
        <v>14569</v>
      </c>
      <c r="F30" s="5">
        <v>22925</v>
      </c>
      <c r="G30" s="23">
        <f>VLOOKUP(tbl_financials[[#This Row],[Industry]],tbl_tax[[Industry]:[Tax Rate]],2,FALSE)</f>
        <v>0.25</v>
      </c>
      <c r="H30" s="5">
        <f>tbl_financials[[#This Row],[Net Income]]*tbl_financials[[#This Row],[Tax Rate]]</f>
        <v>3642.25</v>
      </c>
      <c r="I30" s="5">
        <f>tbl_financials[[#This Row],[Net Income]]-tbl_financials[[#This Row],[Tax Amount]]</f>
        <v>10926.75</v>
      </c>
      <c r="J30" s="29" t="e">
        <f>tbl_financials[[#This Row],[Net Income]]/tbl_financials[[#This Row],[Revenue]]</f>
        <v>#DIV/0!</v>
      </c>
      <c r="K30" s="29" t="e">
        <f>tbl_financials[[#This Row],[EBITDA]]/tbl_financials[[#This Row],[Revenue]]</f>
        <v>#DIV/0!</v>
      </c>
      <c r="L30"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30" s="35" t="str">
        <f>IFERROR((tbl_financials[[#This Row],[Net Income]]-INDEX(tbl_financials[Net Income],MATCH(tbl_financials[[#This Row],[PreviousKey]],tbl_financials[Key],0)))/INDEX(tbl_financials[Net Income],MATCH(tbl_financials[[#This Row],[PreviousKey]],tbl_financials[Key],0)),"")</f>
        <v/>
      </c>
      <c r="N30" s="32" t="str">
        <f>tbl_financials[[#This Row],[Company ]]&amp;tbl_financials[[#This Row],[Year]]</f>
        <v>MSFT2009</v>
      </c>
      <c r="O30" s="32" t="str">
        <f>tbl_financials[[#This Row],[Company ]]&amp;(tbl_financials[[#This Row],[Year]]-1)</f>
        <v>MSFT2008</v>
      </c>
      <c r="P30"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30" s="4"/>
    </row>
    <row r="31" spans="1:17" x14ac:dyDescent="0.3">
      <c r="A31" s="7">
        <v>2022</v>
      </c>
      <c r="B31" s="3" t="s">
        <v>26</v>
      </c>
      <c r="C31" s="3" t="s">
        <v>24</v>
      </c>
      <c r="D31" s="5">
        <v>282836</v>
      </c>
      <c r="E31" s="5">
        <v>59972</v>
      </c>
      <c r="F31" s="5">
        <v>90770</v>
      </c>
      <c r="G31" s="23">
        <f>VLOOKUP(tbl_financials[[#This Row],[Industry]],tbl_tax[[Industry]:[Tax Rate]],2,FALSE)</f>
        <v>0.25</v>
      </c>
      <c r="H31" s="5">
        <f>tbl_financials[[#This Row],[Net Income]]*tbl_financials[[#This Row],[Tax Rate]]</f>
        <v>14993</v>
      </c>
      <c r="I31" s="5">
        <f>tbl_financials[[#This Row],[Net Income]]-tbl_financials[[#This Row],[Tax Amount]]</f>
        <v>44979</v>
      </c>
      <c r="J31" s="29">
        <f>tbl_financials[[#This Row],[Net Income]]/tbl_financials[[#This Row],[Revenue]]</f>
        <v>0.21203807153261961</v>
      </c>
      <c r="K31" s="29">
        <f>tbl_financials[[#This Row],[EBITDA]]/tbl_financials[[#This Row],[Revenue]]</f>
        <v>0.32092802896378114</v>
      </c>
      <c r="L3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9.7808156437157706E-2</v>
      </c>
      <c r="M31" s="35">
        <f>IFERROR((tbl_financials[[#This Row],[Net Income]]-INDEX(tbl_financials[Net Income],MATCH(tbl_financials[[#This Row],[PreviousKey]],tbl_financials[Key],0)))/INDEX(tbl_financials[Net Income],MATCH(tbl_financials[[#This Row],[PreviousKey]],tbl_financials[Key],0)),"")</f>
        <v>-0.21123722594136757</v>
      </c>
      <c r="N31" s="32" t="str">
        <f>tbl_financials[[#This Row],[Company ]]&amp;tbl_financials[[#This Row],[Year]]</f>
        <v>GOOG2022</v>
      </c>
      <c r="O31" s="32" t="str">
        <f>tbl_financials[[#This Row],[Company ]]&amp;(tbl_financials[[#This Row],[Year]]-1)</f>
        <v>GOOG2021</v>
      </c>
      <c r="P3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1" s="4"/>
    </row>
    <row r="32" spans="1:17" x14ac:dyDescent="0.3">
      <c r="A32" s="7">
        <v>2021</v>
      </c>
      <c r="B32" s="3" t="s">
        <v>26</v>
      </c>
      <c r="C32" s="3" t="s">
        <v>24</v>
      </c>
      <c r="D32" s="5">
        <v>257637</v>
      </c>
      <c r="E32" s="5">
        <v>76033</v>
      </c>
      <c r="F32" s="5">
        <v>91155</v>
      </c>
      <c r="G32" s="23">
        <f>VLOOKUP(tbl_financials[[#This Row],[Industry]],tbl_tax[[Industry]:[Tax Rate]],2,FALSE)</f>
        <v>0.25</v>
      </c>
      <c r="H32" s="5">
        <f>tbl_financials[[#This Row],[Net Income]]*tbl_financials[[#This Row],[Tax Rate]]</f>
        <v>19008.25</v>
      </c>
      <c r="I32" s="5">
        <f>tbl_financials[[#This Row],[Net Income]]-tbl_financials[[#This Row],[Tax Amount]]</f>
        <v>57024.75</v>
      </c>
      <c r="J32" s="29">
        <f>tbl_financials[[#This Row],[Net Income]]/tbl_financials[[#This Row],[Revenue]]</f>
        <v>0.29511677282377918</v>
      </c>
      <c r="K32" s="29">
        <f>tbl_financials[[#This Row],[EBITDA]]/tbl_financials[[#This Row],[Revenue]]</f>
        <v>0.35381175840426649</v>
      </c>
      <c r="L3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0.41150076427049148</v>
      </c>
      <c r="M32" s="35">
        <f>IFERROR((tbl_financials[[#This Row],[Net Income]]-INDEX(tbl_financials[Net Income],MATCH(tbl_financials[[#This Row],[PreviousKey]],tbl_financials[Key],0)))/INDEX(tbl_financials[Net Income],MATCH(tbl_financials[[#This Row],[PreviousKey]],tbl_financials[Key],0)),"")</f>
        <v>0.88812734361419454</v>
      </c>
      <c r="N32" s="32" t="str">
        <f>tbl_financials[[#This Row],[Company ]]&amp;tbl_financials[[#This Row],[Year]]</f>
        <v>GOOG2021</v>
      </c>
      <c r="O32" s="32" t="str">
        <f>tbl_financials[[#This Row],[Company ]]&amp;(tbl_financials[[#This Row],[Year]]-1)</f>
        <v>GOOG2020</v>
      </c>
      <c r="P3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2" s="4"/>
    </row>
    <row r="33" spans="1:17" x14ac:dyDescent="0.3">
      <c r="A33" s="7">
        <v>2020</v>
      </c>
      <c r="B33" s="3" t="s">
        <v>26</v>
      </c>
      <c r="C33" s="3" t="s">
        <v>24</v>
      </c>
      <c r="D33" s="5">
        <v>182527</v>
      </c>
      <c r="E33" s="5">
        <v>40269</v>
      </c>
      <c r="F33" s="5">
        <v>54921</v>
      </c>
      <c r="G33" s="23">
        <f>VLOOKUP(tbl_financials[[#This Row],[Industry]],tbl_tax[[Industry]:[Tax Rate]],2,FALSE)</f>
        <v>0.25</v>
      </c>
      <c r="H33" s="5">
        <f>tbl_financials[[#This Row],[Net Income]]*tbl_financials[[#This Row],[Tax Rate]]</f>
        <v>10067.25</v>
      </c>
      <c r="I33" s="5">
        <f>tbl_financials[[#This Row],[Net Income]]-tbl_financials[[#This Row],[Tax Amount]]</f>
        <v>30201.75</v>
      </c>
      <c r="J33" s="29">
        <f>tbl_financials[[#This Row],[Net Income]]/tbl_financials[[#This Row],[Revenue]]</f>
        <v>0.22061941520980458</v>
      </c>
      <c r="K33" s="29">
        <f>tbl_financials[[#This Row],[EBITDA]]/tbl_financials[[#This Row],[Revenue]]</f>
        <v>0.30089247070296449</v>
      </c>
      <c r="L3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0.12770532012826136</v>
      </c>
      <c r="M33" s="35">
        <f>IFERROR((tbl_financials[[#This Row],[Net Income]]-INDEX(tbl_financials[Net Income],MATCH(tbl_financials[[#This Row],[PreviousKey]],tbl_financials[Key],0)))/INDEX(tbl_financials[Net Income],MATCH(tbl_financials[[#This Row],[PreviousKey]],tbl_financials[Key],0)),"")</f>
        <v>0.17255335876306671</v>
      </c>
      <c r="N33" s="32" t="str">
        <f>tbl_financials[[#This Row],[Company ]]&amp;tbl_financials[[#This Row],[Year]]</f>
        <v>GOOG2020</v>
      </c>
      <c r="O33" s="32" t="str">
        <f>tbl_financials[[#This Row],[Company ]]&amp;(tbl_financials[[#This Row],[Year]]-1)</f>
        <v>GOOG2019</v>
      </c>
      <c r="P3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3" s="4"/>
    </row>
    <row r="34" spans="1:17" x14ac:dyDescent="0.3">
      <c r="A34" s="7">
        <v>2019</v>
      </c>
      <c r="B34" s="3" t="s">
        <v>26</v>
      </c>
      <c r="C34" s="3" t="s">
        <v>24</v>
      </c>
      <c r="D34" s="5">
        <v>161857</v>
      </c>
      <c r="E34" s="5">
        <v>34343</v>
      </c>
      <c r="F34" s="5">
        <v>46012</v>
      </c>
      <c r="G34" s="23">
        <f>VLOOKUP(tbl_financials[[#This Row],[Industry]],tbl_tax[[Industry]:[Tax Rate]],2,FALSE)</f>
        <v>0.25</v>
      </c>
      <c r="H34" s="5">
        <f>tbl_financials[[#This Row],[Net Income]]*tbl_financials[[#This Row],[Tax Rate]]</f>
        <v>8585.75</v>
      </c>
      <c r="I34" s="5">
        <f>tbl_financials[[#This Row],[Net Income]]-tbl_financials[[#This Row],[Tax Amount]]</f>
        <v>25757.25</v>
      </c>
      <c r="J34" s="29">
        <f>tbl_financials[[#This Row],[Net Income]]/tbl_financials[[#This Row],[Revenue]]</f>
        <v>0.21218112284300339</v>
      </c>
      <c r="K34" s="29">
        <f>tbl_financials[[#This Row],[EBITDA]]/tbl_financials[[#This Row],[Revenue]]</f>
        <v>0.28427562601555695</v>
      </c>
      <c r="L3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0.18300089899794619</v>
      </c>
      <c r="M34" s="35">
        <f>IFERROR((tbl_financials[[#This Row],[Net Income]]-INDEX(tbl_financials[Net Income],MATCH(tbl_financials[[#This Row],[PreviousKey]],tbl_financials[Key],0)))/INDEX(tbl_financials[Net Income],MATCH(tbl_financials[[#This Row],[PreviousKey]],tbl_financials[Key],0)),"")</f>
        <v>0.11735424258198855</v>
      </c>
      <c r="N34" s="32" t="str">
        <f>tbl_financials[[#This Row],[Company ]]&amp;tbl_financials[[#This Row],[Year]]</f>
        <v>GOOG2019</v>
      </c>
      <c r="O34" s="32" t="str">
        <f>tbl_financials[[#This Row],[Company ]]&amp;(tbl_financials[[#This Row],[Year]]-1)</f>
        <v>GOOG2018</v>
      </c>
      <c r="P3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4" s="4"/>
    </row>
    <row r="35" spans="1:17" x14ac:dyDescent="0.3">
      <c r="A35" s="7">
        <v>2018</v>
      </c>
      <c r="B35" s="3" t="s">
        <v>26</v>
      </c>
      <c r="C35" s="3" t="s">
        <v>24</v>
      </c>
      <c r="D35" s="5">
        <v>136819</v>
      </c>
      <c r="E35" s="5">
        <v>30736</v>
      </c>
      <c r="F35" s="5">
        <v>36559</v>
      </c>
      <c r="G35" s="23">
        <f>VLOOKUP(tbl_financials[[#This Row],[Industry]],tbl_tax[[Industry]:[Tax Rate]],2,FALSE)</f>
        <v>0.25</v>
      </c>
      <c r="H35" s="5">
        <f>tbl_financials[[#This Row],[Net Income]]*tbl_financials[[#This Row],[Tax Rate]]</f>
        <v>7684</v>
      </c>
      <c r="I35" s="5">
        <f>tbl_financials[[#This Row],[Net Income]]-tbl_financials[[#This Row],[Tax Amount]]</f>
        <v>23052</v>
      </c>
      <c r="J35" s="29">
        <f>tbl_financials[[#This Row],[Net Income]]/tbl_financials[[#This Row],[Revenue]]</f>
        <v>0.22464716157843576</v>
      </c>
      <c r="K35" s="29">
        <f>tbl_financials[[#This Row],[EBITDA]]/tbl_financials[[#This Row],[Revenue]]</f>
        <v>0.26720703995790057</v>
      </c>
      <c r="L3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0.23421586757475982</v>
      </c>
      <c r="M35" s="35">
        <f>IFERROR((tbl_financials[[#This Row],[Net Income]]-INDEX(tbl_financials[Net Income],MATCH(tbl_financials[[#This Row],[PreviousKey]],tbl_financials[Key],0)))/INDEX(tbl_financials[Net Income],MATCH(tbl_financials[[#This Row],[PreviousKey]],tbl_financials[Key],0)),"")</f>
        <v>1.4274206286526616</v>
      </c>
      <c r="N35" s="32" t="str">
        <f>tbl_financials[[#This Row],[Company ]]&amp;tbl_financials[[#This Row],[Year]]</f>
        <v>GOOG2018</v>
      </c>
      <c r="O35" s="32" t="str">
        <f>tbl_financials[[#This Row],[Company ]]&amp;(tbl_financials[[#This Row],[Year]]-1)</f>
        <v>GOOG2017</v>
      </c>
      <c r="P35"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35" s="4"/>
    </row>
    <row r="36" spans="1:17" x14ac:dyDescent="0.3">
      <c r="A36" s="7">
        <v>2017</v>
      </c>
      <c r="B36" s="3" t="s">
        <v>26</v>
      </c>
      <c r="C36" s="3" t="s">
        <v>24</v>
      </c>
      <c r="D36" s="5">
        <v>110855</v>
      </c>
      <c r="E36" s="5">
        <v>12662</v>
      </c>
      <c r="F36" s="5">
        <v>33093</v>
      </c>
      <c r="G36" s="23">
        <f>VLOOKUP(tbl_financials[[#This Row],[Industry]],tbl_tax[[Industry]:[Tax Rate]],2,FALSE)</f>
        <v>0.25</v>
      </c>
      <c r="H36" s="5">
        <f>tbl_financials[[#This Row],[Net Income]]*tbl_financials[[#This Row],[Tax Rate]]</f>
        <v>3165.5</v>
      </c>
      <c r="I36" s="5">
        <f>tbl_financials[[#This Row],[Net Income]]-tbl_financials[[#This Row],[Tax Amount]]</f>
        <v>9496.5</v>
      </c>
      <c r="J36" s="29">
        <f>tbl_financials[[#This Row],[Net Income]]/tbl_financials[[#This Row],[Revenue]]</f>
        <v>0.11422128005051645</v>
      </c>
      <c r="K36" s="29">
        <f>tbl_financials[[#This Row],[EBITDA]]/tbl_financials[[#This Row],[Revenue]]</f>
        <v>0.29852510035632129</v>
      </c>
      <c r="L3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0.22801090038993266</v>
      </c>
      <c r="M36" s="35">
        <f>IFERROR((tbl_financials[[#This Row],[Net Income]]-INDEX(tbl_financials[Net Income],MATCH(tbl_financials[[#This Row],[PreviousKey]],tbl_financials[Key],0)))/INDEX(tbl_financials[Net Income],MATCH(tbl_financials[[#This Row],[PreviousKey]],tbl_financials[Key],0)),"")</f>
        <v>-0.34993325803470582</v>
      </c>
      <c r="N36" s="32" t="str">
        <f>tbl_financials[[#This Row],[Company ]]&amp;tbl_financials[[#This Row],[Year]]</f>
        <v>GOOG2017</v>
      </c>
      <c r="O36" s="32" t="str">
        <f>tbl_financials[[#This Row],[Company ]]&amp;(tbl_financials[[#This Row],[Year]]-1)</f>
        <v>GOOG2016</v>
      </c>
      <c r="P3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6" s="4"/>
    </row>
    <row r="37" spans="1:17" x14ac:dyDescent="0.3">
      <c r="A37" s="7">
        <v>2016</v>
      </c>
      <c r="B37" s="3" t="s">
        <v>26</v>
      </c>
      <c r="C37" s="3" t="s">
        <v>24</v>
      </c>
      <c r="D37" s="5">
        <v>90272</v>
      </c>
      <c r="E37" s="5">
        <v>19478</v>
      </c>
      <c r="F37" s="5">
        <v>29860</v>
      </c>
      <c r="G37" s="23">
        <f>VLOOKUP(tbl_financials[[#This Row],[Industry]],tbl_tax[[Industry]:[Tax Rate]],2,FALSE)</f>
        <v>0.25</v>
      </c>
      <c r="H37" s="5">
        <f>tbl_financials[[#This Row],[Net Income]]*tbl_financials[[#This Row],[Tax Rate]]</f>
        <v>4869.5</v>
      </c>
      <c r="I37" s="5">
        <f>tbl_financials[[#This Row],[Net Income]]-tbl_financials[[#This Row],[Tax Amount]]</f>
        <v>14608.5</v>
      </c>
      <c r="J37" s="29">
        <f>tbl_financials[[#This Row],[Net Income]]/tbl_financials[[#This Row],[Revenue]]</f>
        <v>0.2157701169797944</v>
      </c>
      <c r="K37" s="29">
        <f>tbl_financials[[#This Row],[EBITDA]]/tbl_financials[[#This Row],[Revenue]]</f>
        <v>0.33077809287486709</v>
      </c>
      <c r="L3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0.20380322447292271</v>
      </c>
      <c r="M37" s="35">
        <f>IFERROR((tbl_financials[[#This Row],[Net Income]]-INDEX(tbl_financials[Net Income],MATCH(tbl_financials[[#This Row],[PreviousKey]],tbl_financials[Key],0)))/INDEX(tbl_financials[Net Income],MATCH(tbl_financials[[#This Row],[PreviousKey]],tbl_financials[Key],0)),"")</f>
        <v>0.23075950966763553</v>
      </c>
      <c r="N37" s="32" t="str">
        <f>tbl_financials[[#This Row],[Company ]]&amp;tbl_financials[[#This Row],[Year]]</f>
        <v>GOOG2016</v>
      </c>
      <c r="O37" s="32" t="str">
        <f>tbl_financials[[#This Row],[Company ]]&amp;(tbl_financials[[#This Row],[Year]]-1)</f>
        <v>GOOG2015</v>
      </c>
      <c r="P3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7" s="4"/>
    </row>
    <row r="38" spans="1:17" x14ac:dyDescent="0.3">
      <c r="A38" s="7">
        <v>2015</v>
      </c>
      <c r="B38" s="3" t="s">
        <v>26</v>
      </c>
      <c r="C38" s="3" t="s">
        <v>24</v>
      </c>
      <c r="D38" s="5">
        <v>74989</v>
      </c>
      <c r="E38" s="5">
        <v>15826</v>
      </c>
      <c r="F38" s="5">
        <v>24423</v>
      </c>
      <c r="G38" s="23">
        <f>VLOOKUP(tbl_financials[[#This Row],[Industry]],tbl_tax[[Industry]:[Tax Rate]],2,FALSE)</f>
        <v>0.25</v>
      </c>
      <c r="H38" s="5">
        <f>tbl_financials[[#This Row],[Net Income]]*tbl_financials[[#This Row],[Tax Rate]]</f>
        <v>3956.5</v>
      </c>
      <c r="I38" s="5">
        <f>tbl_financials[[#This Row],[Net Income]]-tbl_financials[[#This Row],[Tax Amount]]</f>
        <v>11869.5</v>
      </c>
      <c r="J38" s="29">
        <f>tbl_financials[[#This Row],[Net Income]]/tbl_financials[[#This Row],[Revenue]]</f>
        <v>0.21104428649535265</v>
      </c>
      <c r="K38" s="29">
        <f>tbl_financials[[#This Row],[EBITDA]]/tbl_financials[[#This Row],[Revenue]]</f>
        <v>0.32568776753923911</v>
      </c>
      <c r="L3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0.13617975485219921</v>
      </c>
      <c r="M38" s="35">
        <f>IFERROR((tbl_financials[[#This Row],[Net Income]]-INDEX(tbl_financials[Net Income],MATCH(tbl_financials[[#This Row],[PreviousKey]],tbl_financials[Key],0)))/INDEX(tbl_financials[Net Income],MATCH(tbl_financials[[#This Row],[PreviousKey]],tbl_financials[Key],0)),"")</f>
        <v>0.11955291454442558</v>
      </c>
      <c r="N38" s="32" t="str">
        <f>tbl_financials[[#This Row],[Company ]]&amp;tbl_financials[[#This Row],[Year]]</f>
        <v>GOOG2015</v>
      </c>
      <c r="O38" s="32" t="str">
        <f>tbl_financials[[#This Row],[Company ]]&amp;(tbl_financials[[#This Row],[Year]]-1)</f>
        <v>GOOG2014</v>
      </c>
      <c r="P3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8" s="4"/>
    </row>
    <row r="39" spans="1:17" x14ac:dyDescent="0.3">
      <c r="A39" s="7">
        <v>2014</v>
      </c>
      <c r="B39" s="3" t="s">
        <v>26</v>
      </c>
      <c r="C39" s="3" t="s">
        <v>24</v>
      </c>
      <c r="D39" s="5">
        <v>66001</v>
      </c>
      <c r="E39" s="5">
        <v>14136</v>
      </c>
      <c r="F39" s="5">
        <v>21475</v>
      </c>
      <c r="G39" s="23">
        <f>VLOOKUP(tbl_financials[[#This Row],[Industry]],tbl_tax[[Industry]:[Tax Rate]],2,FALSE)</f>
        <v>0.25</v>
      </c>
      <c r="H39" s="5">
        <f>tbl_financials[[#This Row],[Net Income]]*tbl_financials[[#This Row],[Tax Rate]]</f>
        <v>3534</v>
      </c>
      <c r="I39" s="5">
        <f>tbl_financials[[#This Row],[Net Income]]-tbl_financials[[#This Row],[Tax Amount]]</f>
        <v>10602</v>
      </c>
      <c r="J39" s="29">
        <f>tbl_financials[[#This Row],[Net Income]]/tbl_financials[[#This Row],[Revenue]]</f>
        <v>0.21417857305192345</v>
      </c>
      <c r="K39" s="29">
        <f>tbl_financials[[#This Row],[EBITDA]]/tbl_financials[[#This Row],[Revenue]]</f>
        <v>0.32537385797184892</v>
      </c>
      <c r="L3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0.18880023055170303</v>
      </c>
      <c r="M39" s="35">
        <f>IFERROR((tbl_financials[[#This Row],[Net Income]]-INDEX(tbl_financials[Net Income],MATCH(tbl_financials[[#This Row],[PreviousKey]],tbl_financials[Key],0)))/INDEX(tbl_financials[Net Income],MATCH(tbl_financials[[#This Row],[PreviousKey]],tbl_financials[Key],0)),"")</f>
        <v>0.11018613052697715</v>
      </c>
      <c r="N39" s="32" t="str">
        <f>tbl_financials[[#This Row],[Company ]]&amp;tbl_financials[[#This Row],[Year]]</f>
        <v>GOOG2014</v>
      </c>
      <c r="O39" s="32" t="str">
        <f>tbl_financials[[#This Row],[Company ]]&amp;(tbl_financials[[#This Row],[Year]]-1)</f>
        <v>GOOG2013</v>
      </c>
      <c r="P3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39" s="4"/>
    </row>
    <row r="40" spans="1:17" x14ac:dyDescent="0.3">
      <c r="A40" s="7">
        <v>2013</v>
      </c>
      <c r="B40" s="3" t="s">
        <v>26</v>
      </c>
      <c r="C40" s="3" t="s">
        <v>24</v>
      </c>
      <c r="D40" s="5">
        <v>55519</v>
      </c>
      <c r="E40" s="5">
        <v>12733</v>
      </c>
      <c r="F40" s="5">
        <v>19342</v>
      </c>
      <c r="G40" s="23">
        <f>VLOOKUP(tbl_financials[[#This Row],[Industry]],tbl_tax[[Industry]:[Tax Rate]],2,FALSE)</f>
        <v>0.25</v>
      </c>
      <c r="H40" s="5">
        <f>tbl_financials[[#This Row],[Net Income]]*tbl_financials[[#This Row],[Tax Rate]]</f>
        <v>3183.25</v>
      </c>
      <c r="I40" s="5">
        <f>tbl_financials[[#This Row],[Net Income]]-tbl_financials[[#This Row],[Tax Amount]]</f>
        <v>9549.75</v>
      </c>
      <c r="J40" s="29">
        <f>tbl_financials[[#This Row],[Net Income]]/tbl_financials[[#This Row],[Revenue]]</f>
        <v>0.22934490895008916</v>
      </c>
      <c r="K40" s="29">
        <f>tbl_financials[[#This Row],[EBITDA]]/tbl_financials[[#This Row],[Revenue]]</f>
        <v>0.34838523748626599</v>
      </c>
      <c r="L4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0.20591237863550468</v>
      </c>
      <c r="M40" s="35">
        <f>IFERROR((tbl_financials[[#This Row],[Net Income]]-INDEX(tbl_financials[Net Income],MATCH(tbl_financials[[#This Row],[PreviousKey]],tbl_financials[Key],0)))/INDEX(tbl_financials[Net Income],MATCH(tbl_financials[[#This Row],[PreviousKey]],tbl_financials[Key],0)),"")</f>
        <v>0.18589922697215236</v>
      </c>
      <c r="N40" s="32" t="str">
        <f>tbl_financials[[#This Row],[Company ]]&amp;tbl_financials[[#This Row],[Year]]</f>
        <v>GOOG2013</v>
      </c>
      <c r="O40" s="32" t="str">
        <f>tbl_financials[[#This Row],[Company ]]&amp;(tbl_financials[[#This Row],[Year]]-1)</f>
        <v>GOOG2012</v>
      </c>
      <c r="P4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0" s="4"/>
    </row>
    <row r="41" spans="1:17" x14ac:dyDescent="0.3">
      <c r="A41" s="7">
        <v>2012</v>
      </c>
      <c r="B41" s="3" t="s">
        <v>26</v>
      </c>
      <c r="C41" s="3" t="s">
        <v>24</v>
      </c>
      <c r="D41" s="5">
        <v>46039</v>
      </c>
      <c r="E41" s="5">
        <v>10737</v>
      </c>
      <c r="F41" s="5">
        <v>16796</v>
      </c>
      <c r="G41" s="23">
        <f>VLOOKUP(tbl_financials[[#This Row],[Industry]],tbl_tax[[Industry]:[Tax Rate]],2,FALSE)</f>
        <v>0.25</v>
      </c>
      <c r="H41" s="5">
        <f>tbl_financials[[#This Row],[Net Income]]*tbl_financials[[#This Row],[Tax Rate]]</f>
        <v>2684.25</v>
      </c>
      <c r="I41" s="5">
        <f>tbl_financials[[#This Row],[Net Income]]-tbl_financials[[#This Row],[Tax Amount]]</f>
        <v>8052.75</v>
      </c>
      <c r="J41" s="29">
        <f>tbl_financials[[#This Row],[Net Income]]/tbl_financials[[#This Row],[Revenue]]</f>
        <v>0.23321531744825039</v>
      </c>
      <c r="K41" s="29">
        <f>tbl_financials[[#This Row],[EBITDA]]/tbl_financials[[#This Row],[Revenue]]</f>
        <v>0.36482112991159671</v>
      </c>
      <c r="L4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0.21458910433979686</v>
      </c>
      <c r="M41" s="35">
        <f>IFERROR((tbl_financials[[#This Row],[Net Income]]-INDEX(tbl_financials[Net Income],MATCH(tbl_financials[[#This Row],[PreviousKey]],tbl_financials[Key],0)))/INDEX(tbl_financials[Net Income],MATCH(tbl_financials[[#This Row],[PreviousKey]],tbl_financials[Key],0)),"")</f>
        <v>0.10270103728047653</v>
      </c>
      <c r="N41" s="32" t="str">
        <f>tbl_financials[[#This Row],[Company ]]&amp;tbl_financials[[#This Row],[Year]]</f>
        <v>GOOG2012</v>
      </c>
      <c r="O41" s="32" t="str">
        <f>tbl_financials[[#This Row],[Company ]]&amp;(tbl_financials[[#This Row],[Year]]-1)</f>
        <v>GOOG2011</v>
      </c>
      <c r="P4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1" s="4"/>
    </row>
    <row r="42" spans="1:17" x14ac:dyDescent="0.3">
      <c r="A42" s="7">
        <v>2011</v>
      </c>
      <c r="B42" s="3" t="s">
        <v>26</v>
      </c>
      <c r="C42" s="3" t="s">
        <v>24</v>
      </c>
      <c r="D42" s="5">
        <v>37905</v>
      </c>
      <c r="E42" s="5">
        <v>9737</v>
      </c>
      <c r="F42" s="5">
        <v>13593</v>
      </c>
      <c r="G42" s="23">
        <f>VLOOKUP(tbl_financials[[#This Row],[Industry]],tbl_tax[[Industry]:[Tax Rate]],2,FALSE)</f>
        <v>0.25</v>
      </c>
      <c r="H42" s="5">
        <f>tbl_financials[[#This Row],[Net Income]]*tbl_financials[[#This Row],[Tax Rate]]</f>
        <v>2434.25</v>
      </c>
      <c r="I42" s="5">
        <f>tbl_financials[[#This Row],[Net Income]]-tbl_financials[[#This Row],[Tax Amount]]</f>
        <v>7302.75</v>
      </c>
      <c r="J42" s="29">
        <f>tbl_financials[[#This Row],[Net Income]]/tbl_financials[[#This Row],[Revenue]]</f>
        <v>0.25687903970452447</v>
      </c>
      <c r="K42" s="29">
        <f>tbl_financials[[#This Row],[EBITDA]]/tbl_financials[[#This Row],[Revenue]]</f>
        <v>0.3586070439256035</v>
      </c>
      <c r="L4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0.29275945568022921</v>
      </c>
      <c r="M42" s="35">
        <f>IFERROR((tbl_financials[[#This Row],[Net Income]]-INDEX(tbl_financials[Net Income],MATCH(tbl_financials[[#This Row],[PreviousKey]],tbl_financials[Key],0)))/INDEX(tbl_financials[Net Income],MATCH(tbl_financials[[#This Row],[PreviousKey]],tbl_financials[Key],0)),"")</f>
        <v>0.14485596707818929</v>
      </c>
      <c r="N42" s="32" t="str">
        <f>tbl_financials[[#This Row],[Company ]]&amp;tbl_financials[[#This Row],[Year]]</f>
        <v>GOOG2011</v>
      </c>
      <c r="O42" s="32" t="str">
        <f>tbl_financials[[#This Row],[Company ]]&amp;(tbl_financials[[#This Row],[Year]]-1)</f>
        <v>GOOG2010</v>
      </c>
      <c r="P4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2" s="4"/>
    </row>
    <row r="43" spans="1:17" x14ac:dyDescent="0.3">
      <c r="A43" s="7">
        <v>2010</v>
      </c>
      <c r="B43" s="3" t="s">
        <v>26</v>
      </c>
      <c r="C43" s="3" t="s">
        <v>24</v>
      </c>
      <c r="D43" s="5">
        <v>29321</v>
      </c>
      <c r="E43" s="5">
        <v>8505</v>
      </c>
      <c r="F43" s="5">
        <v>11777</v>
      </c>
      <c r="G43" s="23">
        <f>VLOOKUP(tbl_financials[[#This Row],[Industry]],tbl_tax[[Industry]:[Tax Rate]],2,FALSE)</f>
        <v>0.25</v>
      </c>
      <c r="H43" s="5">
        <f>tbl_financials[[#This Row],[Net Income]]*tbl_financials[[#This Row],[Tax Rate]]</f>
        <v>2126.25</v>
      </c>
      <c r="I43" s="5">
        <f>tbl_financials[[#This Row],[Net Income]]-tbl_financials[[#This Row],[Tax Amount]]</f>
        <v>6378.75</v>
      </c>
      <c r="J43" s="29">
        <f>tbl_financials[[#This Row],[Net Income]]/tbl_financials[[#This Row],[Revenue]]</f>
        <v>0.29006514102520375</v>
      </c>
      <c r="K43" s="29">
        <f>tbl_financials[[#This Row],[EBITDA]]/tbl_financials[[#This Row],[Revenue]]</f>
        <v>0.4016575150915726</v>
      </c>
      <c r="L4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0.23973616337575579</v>
      </c>
      <c r="M43" s="35">
        <f>IFERROR((tbl_financials[[#This Row],[Net Income]]-INDEX(tbl_financials[Net Income],MATCH(tbl_financials[[#This Row],[PreviousKey]],tbl_financials[Key],0)))/INDEX(tbl_financials[Net Income],MATCH(tbl_financials[[#This Row],[PreviousKey]],tbl_financials[Key],0)),"")</f>
        <v>0.30444785276073622</v>
      </c>
      <c r="N43" s="32" t="str">
        <f>tbl_financials[[#This Row],[Company ]]&amp;tbl_financials[[#This Row],[Year]]</f>
        <v>GOOG2010</v>
      </c>
      <c r="O43" s="32" t="str">
        <f>tbl_financials[[#This Row],[Company ]]&amp;(tbl_financials[[#This Row],[Year]]-1)</f>
        <v>GOOG2009</v>
      </c>
      <c r="P4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3" s="4"/>
    </row>
    <row r="44" spans="1:17" x14ac:dyDescent="0.3">
      <c r="A44" s="7">
        <v>2009</v>
      </c>
      <c r="B44" s="3" t="s">
        <v>26</v>
      </c>
      <c r="C44" s="3" t="s">
        <v>24</v>
      </c>
      <c r="D44" s="5">
        <v>23651</v>
      </c>
      <c r="E44" s="5">
        <v>6520</v>
      </c>
      <c r="F44" s="5">
        <v>9836</v>
      </c>
      <c r="G44" s="23">
        <f>VLOOKUP(tbl_financials[[#This Row],[Industry]],tbl_tax[[Industry]:[Tax Rate]],2,FALSE)</f>
        <v>0.25</v>
      </c>
      <c r="H44" s="5">
        <f>tbl_financials[[#This Row],[Net Income]]*tbl_financials[[#This Row],[Tax Rate]]</f>
        <v>1630</v>
      </c>
      <c r="I44" s="5">
        <f>tbl_financials[[#This Row],[Net Income]]-tbl_financials[[#This Row],[Tax Amount]]</f>
        <v>4890</v>
      </c>
      <c r="J44" s="29">
        <f>tbl_financials[[#This Row],[Net Income]]/tbl_financials[[#This Row],[Revenue]]</f>
        <v>0.2756754471269714</v>
      </c>
      <c r="K44" s="29">
        <f>tbl_financials[[#This Row],[EBITDA]]/tbl_financials[[#This Row],[Revenue]]</f>
        <v>0.41588093526700776</v>
      </c>
      <c r="L44"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44" s="35" t="str">
        <f>IFERROR((tbl_financials[[#This Row],[Net Income]]-INDEX(tbl_financials[Net Income],MATCH(tbl_financials[[#This Row],[PreviousKey]],tbl_financials[Key],0)))/INDEX(tbl_financials[Net Income],MATCH(tbl_financials[[#This Row],[PreviousKey]],tbl_financials[Key],0)),"")</f>
        <v/>
      </c>
      <c r="N44" s="32" t="str">
        <f>tbl_financials[[#This Row],[Company ]]&amp;tbl_financials[[#This Row],[Year]]</f>
        <v>GOOG2009</v>
      </c>
      <c r="O44" s="32" t="str">
        <f>tbl_financials[[#This Row],[Company ]]&amp;(tbl_financials[[#This Row],[Year]]-1)</f>
        <v>GOOG2008</v>
      </c>
      <c r="P44"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44" s="4"/>
    </row>
    <row r="45" spans="1:17" x14ac:dyDescent="0.3">
      <c r="A45" s="7">
        <v>2022</v>
      </c>
      <c r="B45" s="3" t="s">
        <v>27</v>
      </c>
      <c r="C45" s="3" t="s">
        <v>46</v>
      </c>
      <c r="D45" s="5">
        <v>27518</v>
      </c>
      <c r="E45" s="5">
        <v>2419</v>
      </c>
      <c r="F45" s="5">
        <v>5154</v>
      </c>
      <c r="G45" s="23">
        <f>VLOOKUP(tbl_financials[[#This Row],[Industry]],tbl_tax[[Industry]:[Tax Rate]],2,FALSE)</f>
        <v>0.28000000000000003</v>
      </c>
      <c r="H45" s="5">
        <f>tbl_financials[[#This Row],[Net Income]]*tbl_financials[[#This Row],[Tax Rate]]</f>
        <v>677.32</v>
      </c>
      <c r="I45" s="5">
        <f>tbl_financials[[#This Row],[Net Income]]-tbl_financials[[#This Row],[Tax Amount]]</f>
        <v>1741.6799999999998</v>
      </c>
      <c r="J45" s="29">
        <f>tbl_financials[[#This Row],[Net Income]]/tbl_financials[[#This Row],[Revenue]]</f>
        <v>8.7906097826876958E-2</v>
      </c>
      <c r="K45" s="29">
        <f>tbl_financials[[#This Row],[EBITDA]]/tbl_financials[[#This Row],[Revenue]]</f>
        <v>0.18729558834217602</v>
      </c>
      <c r="L4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8.462417721020063E-2</v>
      </c>
      <c r="M45" s="35">
        <f>IFERROR((tbl_financials[[#This Row],[Net Income]]-INDEX(tbl_financials[Net Income],MATCH(tbl_financials[[#This Row],[PreviousKey]],tbl_financials[Key],0)))/INDEX(tbl_financials[Net Income],MATCH(tbl_financials[[#This Row],[PreviousKey]],tbl_financials[Key],0)),"")</f>
        <v>-0.41976493163828255</v>
      </c>
      <c r="N45" s="32" t="str">
        <f>tbl_financials[[#This Row],[Company ]]&amp;tbl_financials[[#This Row],[Year]]</f>
        <v>PYPL2022</v>
      </c>
      <c r="O45" s="32" t="str">
        <f>tbl_financials[[#This Row],[Company ]]&amp;(tbl_financials[[#This Row],[Year]]-1)</f>
        <v>PYPL2021</v>
      </c>
      <c r="P45"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5" s="4"/>
    </row>
    <row r="46" spans="1:17" x14ac:dyDescent="0.3">
      <c r="A46" s="7">
        <v>2021</v>
      </c>
      <c r="B46" s="3" t="s">
        <v>27</v>
      </c>
      <c r="C46" s="3" t="s">
        <v>46</v>
      </c>
      <c r="D46" s="5">
        <v>25371</v>
      </c>
      <c r="E46" s="5">
        <v>4169</v>
      </c>
      <c r="F46" s="5">
        <v>5527</v>
      </c>
      <c r="G46" s="23">
        <f>VLOOKUP(tbl_financials[[#This Row],[Industry]],tbl_tax[[Industry]:[Tax Rate]],2,FALSE)</f>
        <v>0.28000000000000003</v>
      </c>
      <c r="H46" s="5">
        <f>tbl_financials[[#This Row],[Net Income]]*tbl_financials[[#This Row],[Tax Rate]]</f>
        <v>1167.3200000000002</v>
      </c>
      <c r="I46" s="5">
        <f>tbl_financials[[#This Row],[Net Income]]-tbl_financials[[#This Row],[Tax Amount]]</f>
        <v>3001.68</v>
      </c>
      <c r="J46" s="29">
        <f>tbl_financials[[#This Row],[Net Income]]/tbl_financials[[#This Row],[Revenue]]</f>
        <v>0.16432146939419021</v>
      </c>
      <c r="K46" s="29">
        <f>tbl_financials[[#This Row],[EBITDA]]/tbl_financials[[#This Row],[Revenue]]</f>
        <v>0.21784714831894683</v>
      </c>
      <c r="L4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0.18257667567819522</v>
      </c>
      <c r="M46" s="35">
        <f>IFERROR((tbl_financials[[#This Row],[Net Income]]-INDEX(tbl_financials[Net Income],MATCH(tbl_financials[[#This Row],[PreviousKey]],tbl_financials[Key],0)))/INDEX(tbl_financials[Net Income],MATCH(tbl_financials[[#This Row],[PreviousKey]],tbl_financials[Key],0)),"")</f>
        <v>-7.8534031413612562E-3</v>
      </c>
      <c r="N46" s="32" t="str">
        <f>tbl_financials[[#This Row],[Company ]]&amp;tbl_financials[[#This Row],[Year]]</f>
        <v>PYPL2021</v>
      </c>
      <c r="O46" s="32" t="str">
        <f>tbl_financials[[#This Row],[Company ]]&amp;(tbl_financials[[#This Row],[Year]]-1)</f>
        <v>PYPL2020</v>
      </c>
      <c r="P4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6" s="4"/>
    </row>
    <row r="47" spans="1:17" x14ac:dyDescent="0.3">
      <c r="A47" s="7">
        <v>2020</v>
      </c>
      <c r="B47" s="3" t="s">
        <v>27</v>
      </c>
      <c r="C47" s="3" t="s">
        <v>46</v>
      </c>
      <c r="D47" s="5">
        <v>21454</v>
      </c>
      <c r="E47" s="5">
        <v>4202</v>
      </c>
      <c r="F47" s="5">
        <v>4478</v>
      </c>
      <c r="G47" s="23">
        <f>VLOOKUP(tbl_financials[[#This Row],[Industry]],tbl_tax[[Industry]:[Tax Rate]],2,FALSE)</f>
        <v>0.28000000000000003</v>
      </c>
      <c r="H47" s="5">
        <f>tbl_financials[[#This Row],[Net Income]]*tbl_financials[[#This Row],[Tax Rate]]</f>
        <v>1176.5600000000002</v>
      </c>
      <c r="I47" s="5">
        <f>tbl_financials[[#This Row],[Net Income]]-tbl_financials[[#This Row],[Tax Amount]]</f>
        <v>3025.4399999999996</v>
      </c>
      <c r="J47" s="29">
        <f>tbl_financials[[#This Row],[Net Income]]/tbl_financials[[#This Row],[Revenue]]</f>
        <v>0.19586091171809453</v>
      </c>
      <c r="K47" s="29">
        <f>tbl_financials[[#This Row],[EBITDA]]/tbl_financials[[#This Row],[Revenue]]</f>
        <v>0.2087256455672602</v>
      </c>
      <c r="L4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0.2071798334458699</v>
      </c>
      <c r="M47" s="35">
        <f>IFERROR((tbl_financials[[#This Row],[Net Income]]-INDEX(tbl_financials[Net Income],MATCH(tbl_financials[[#This Row],[PreviousKey]],tbl_financials[Key],0)))/INDEX(tbl_financials[Net Income],MATCH(tbl_financials[[#This Row],[PreviousKey]],tbl_financials[Key],0)),"")</f>
        <v>0.70882472549816999</v>
      </c>
      <c r="N47" s="32" t="str">
        <f>tbl_financials[[#This Row],[Company ]]&amp;tbl_financials[[#This Row],[Year]]</f>
        <v>PYPL2020</v>
      </c>
      <c r="O47" s="32" t="str">
        <f>tbl_financials[[#This Row],[Company ]]&amp;(tbl_financials[[#This Row],[Year]]-1)</f>
        <v>PYPL2019</v>
      </c>
      <c r="P4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7" s="4"/>
    </row>
    <row r="48" spans="1:17" x14ac:dyDescent="0.3">
      <c r="A48" s="7">
        <v>2019</v>
      </c>
      <c r="B48" s="3" t="s">
        <v>27</v>
      </c>
      <c r="C48" s="3" t="s">
        <v>46</v>
      </c>
      <c r="D48" s="5">
        <v>17772</v>
      </c>
      <c r="E48" s="5">
        <v>2459</v>
      </c>
      <c r="F48" s="5">
        <v>3631</v>
      </c>
      <c r="G48" s="23">
        <f>VLOOKUP(tbl_financials[[#This Row],[Industry]],tbl_tax[[Industry]:[Tax Rate]],2,FALSE)</f>
        <v>0.28000000000000003</v>
      </c>
      <c r="H48" s="5">
        <f>tbl_financials[[#This Row],[Net Income]]*tbl_financials[[#This Row],[Tax Rate]]</f>
        <v>688.5200000000001</v>
      </c>
      <c r="I48" s="5">
        <f>tbl_financials[[#This Row],[Net Income]]-tbl_financials[[#This Row],[Tax Amount]]</f>
        <v>1770.48</v>
      </c>
      <c r="J48" s="29">
        <f>tbl_financials[[#This Row],[Net Income]]/tbl_financials[[#This Row],[Revenue]]</f>
        <v>0.13836371820841772</v>
      </c>
      <c r="K48" s="29">
        <f>tbl_financials[[#This Row],[EBITDA]]/tbl_financials[[#This Row],[Revenue]]</f>
        <v>0.20431015079900969</v>
      </c>
      <c r="L4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0.15021681444566695</v>
      </c>
      <c r="M48" s="35">
        <f>IFERROR((tbl_financials[[#This Row],[Net Income]]-INDEX(tbl_financials[Net Income],MATCH(tbl_financials[[#This Row],[PreviousKey]],tbl_financials[Key],0)))/INDEX(tbl_financials[Net Income],MATCH(tbl_financials[[#This Row],[PreviousKey]],tbl_financials[Key],0)),"")</f>
        <v>0.19543023821098687</v>
      </c>
      <c r="N48" s="32" t="str">
        <f>tbl_financials[[#This Row],[Company ]]&amp;tbl_financials[[#This Row],[Year]]</f>
        <v>PYPL2019</v>
      </c>
      <c r="O48" s="32" t="str">
        <f>tbl_financials[[#This Row],[Company ]]&amp;(tbl_financials[[#This Row],[Year]]-1)</f>
        <v>PYPL2018</v>
      </c>
      <c r="P4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8" s="4"/>
    </row>
    <row r="49" spans="1:17" x14ac:dyDescent="0.3">
      <c r="A49" s="7">
        <v>2018</v>
      </c>
      <c r="B49" s="3" t="s">
        <v>27</v>
      </c>
      <c r="C49" s="3" t="s">
        <v>46</v>
      </c>
      <c r="D49" s="5">
        <v>15451</v>
      </c>
      <c r="E49" s="5">
        <v>2057</v>
      </c>
      <c r="F49" s="5">
        <v>2970</v>
      </c>
      <c r="G49" s="23">
        <f>VLOOKUP(tbl_financials[[#This Row],[Industry]],tbl_tax[[Industry]:[Tax Rate]],2,FALSE)</f>
        <v>0.28000000000000003</v>
      </c>
      <c r="H49" s="5">
        <f>tbl_financials[[#This Row],[Net Income]]*tbl_financials[[#This Row],[Tax Rate]]</f>
        <v>575.96</v>
      </c>
      <c r="I49" s="5">
        <f>tbl_financials[[#This Row],[Net Income]]-tbl_financials[[#This Row],[Tax Amount]]</f>
        <v>1481.04</v>
      </c>
      <c r="J49" s="29">
        <f>tbl_financials[[#This Row],[Net Income]]/tbl_financials[[#This Row],[Revenue]]</f>
        <v>0.13313054171251051</v>
      </c>
      <c r="K49" s="29">
        <f>tbl_financials[[#This Row],[EBITDA]]/tbl_financials[[#This Row],[Revenue]]</f>
        <v>0.19222056824800984</v>
      </c>
      <c r="L4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0.18000610966855049</v>
      </c>
      <c r="M49" s="35">
        <f>IFERROR((tbl_financials[[#This Row],[Net Income]]-INDEX(tbl_financials[Net Income],MATCH(tbl_financials[[#This Row],[PreviousKey]],tbl_financials[Key],0)))/INDEX(tbl_financials[Net Income],MATCH(tbl_financials[[#This Row],[PreviousKey]],tbl_financials[Key],0)),"")</f>
        <v>0.14596100278551533</v>
      </c>
      <c r="N49" s="32" t="str">
        <f>tbl_financials[[#This Row],[Company ]]&amp;tbl_financials[[#This Row],[Year]]</f>
        <v>PYPL2018</v>
      </c>
      <c r="O49" s="32" t="str">
        <f>tbl_financials[[#This Row],[Company ]]&amp;(tbl_financials[[#This Row],[Year]]-1)</f>
        <v>PYPL2017</v>
      </c>
      <c r="P4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49" s="4"/>
    </row>
    <row r="50" spans="1:17" x14ac:dyDescent="0.3">
      <c r="A50" s="7">
        <v>2017</v>
      </c>
      <c r="B50" s="3" t="s">
        <v>27</v>
      </c>
      <c r="C50" s="3" t="s">
        <v>46</v>
      </c>
      <c r="D50" s="5">
        <v>13094</v>
      </c>
      <c r="E50" s="5">
        <v>1795</v>
      </c>
      <c r="F50" s="5">
        <v>2932</v>
      </c>
      <c r="G50" s="23">
        <f>VLOOKUP(tbl_financials[[#This Row],[Industry]],tbl_tax[[Industry]:[Tax Rate]],2,FALSE)</f>
        <v>0.28000000000000003</v>
      </c>
      <c r="H50" s="5">
        <f>tbl_financials[[#This Row],[Net Income]]*tbl_financials[[#This Row],[Tax Rate]]</f>
        <v>502.6</v>
      </c>
      <c r="I50" s="5">
        <f>tbl_financials[[#This Row],[Net Income]]-tbl_financials[[#This Row],[Tax Amount]]</f>
        <v>1292.4000000000001</v>
      </c>
      <c r="J50" s="29">
        <f>tbl_financials[[#This Row],[Net Income]]/tbl_financials[[#This Row],[Revenue]]</f>
        <v>0.13708568810142049</v>
      </c>
      <c r="K50" s="29">
        <f>tbl_financials[[#This Row],[EBITDA]]/tbl_financials[[#This Row],[Revenue]]</f>
        <v>0.22391935237513366</v>
      </c>
      <c r="L5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0.20771075447334439</v>
      </c>
      <c r="M50" s="35">
        <f>IFERROR((tbl_financials[[#This Row],[Net Income]]-INDEX(tbl_financials[Net Income],MATCH(tbl_financials[[#This Row],[PreviousKey]],tbl_financials[Key],0)))/INDEX(tbl_financials[Net Income],MATCH(tbl_financials[[#This Row],[PreviousKey]],tbl_financials[Key],0)),"")</f>
        <v>0.28122769450392576</v>
      </c>
      <c r="N50" s="32" t="str">
        <f>tbl_financials[[#This Row],[Company ]]&amp;tbl_financials[[#This Row],[Year]]</f>
        <v>PYPL2017</v>
      </c>
      <c r="O50" s="32" t="str">
        <f>tbl_financials[[#This Row],[Company ]]&amp;(tbl_financials[[#This Row],[Year]]-1)</f>
        <v>PYPL2016</v>
      </c>
      <c r="P5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50" s="4"/>
    </row>
    <row r="51" spans="1:17" x14ac:dyDescent="0.3">
      <c r="A51" s="7">
        <v>2016</v>
      </c>
      <c r="B51" s="3" t="s">
        <v>27</v>
      </c>
      <c r="C51" s="3" t="s">
        <v>46</v>
      </c>
      <c r="D51" s="5">
        <v>10842</v>
      </c>
      <c r="E51" s="5">
        <v>1401</v>
      </c>
      <c r="F51" s="5">
        <v>2310</v>
      </c>
      <c r="G51" s="23">
        <f>VLOOKUP(tbl_financials[[#This Row],[Industry]],tbl_tax[[Industry]:[Tax Rate]],2,FALSE)</f>
        <v>0.28000000000000003</v>
      </c>
      <c r="H51" s="5">
        <f>tbl_financials[[#This Row],[Net Income]]*tbl_financials[[#This Row],[Tax Rate]]</f>
        <v>392.28000000000003</v>
      </c>
      <c r="I51" s="5">
        <f>tbl_financials[[#This Row],[Net Income]]-tbl_financials[[#This Row],[Tax Amount]]</f>
        <v>1008.72</v>
      </c>
      <c r="J51" s="29">
        <f>tbl_financials[[#This Row],[Net Income]]/tbl_financials[[#This Row],[Revenue]]</f>
        <v>0.1292197011621472</v>
      </c>
      <c r="K51" s="29">
        <f>tbl_financials[[#This Row],[EBITDA]]/tbl_financials[[#This Row],[Revenue]]</f>
        <v>0.21306032097399003</v>
      </c>
      <c r="L5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0.17236159169550172</v>
      </c>
      <c r="M51" s="35">
        <f>IFERROR((tbl_financials[[#This Row],[Net Income]]-INDEX(tbl_financials[Net Income],MATCH(tbl_financials[[#This Row],[PreviousKey]],tbl_financials[Key],0)))/INDEX(tbl_financials[Net Income],MATCH(tbl_financials[[#This Row],[PreviousKey]],tbl_financials[Key],0)),"")</f>
        <v>0.14087947882736157</v>
      </c>
      <c r="N51" s="32" t="str">
        <f>tbl_financials[[#This Row],[Company ]]&amp;tbl_financials[[#This Row],[Year]]</f>
        <v>PYPL2016</v>
      </c>
      <c r="O51" s="32" t="str">
        <f>tbl_financials[[#This Row],[Company ]]&amp;(tbl_financials[[#This Row],[Year]]-1)</f>
        <v>PYPL2015</v>
      </c>
      <c r="P5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51" s="4"/>
    </row>
    <row r="52" spans="1:17" x14ac:dyDescent="0.3">
      <c r="A52" s="7">
        <v>2015</v>
      </c>
      <c r="B52" s="3" t="s">
        <v>27</v>
      </c>
      <c r="C52" s="3" t="s">
        <v>46</v>
      </c>
      <c r="D52" s="5">
        <v>9248</v>
      </c>
      <c r="E52" s="5">
        <v>1228</v>
      </c>
      <c r="F52" s="5">
        <v>2069</v>
      </c>
      <c r="G52" s="23">
        <f>VLOOKUP(tbl_financials[[#This Row],[Industry]],tbl_tax[[Industry]:[Tax Rate]],2,FALSE)</f>
        <v>0.28000000000000003</v>
      </c>
      <c r="H52" s="5">
        <f>tbl_financials[[#This Row],[Net Income]]*tbl_financials[[#This Row],[Tax Rate]]</f>
        <v>343.84000000000003</v>
      </c>
      <c r="I52" s="5">
        <f>tbl_financials[[#This Row],[Net Income]]-tbl_financials[[#This Row],[Tax Amount]]</f>
        <v>884.16</v>
      </c>
      <c r="J52" s="29">
        <f>tbl_financials[[#This Row],[Net Income]]/tbl_financials[[#This Row],[Revenue]]</f>
        <v>0.13278546712802769</v>
      </c>
      <c r="K52" s="29">
        <f>tbl_financials[[#This Row],[EBITDA]]/tbl_financials[[#This Row],[Revenue]]</f>
        <v>0.22372404844290658</v>
      </c>
      <c r="L5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0.152398753894081</v>
      </c>
      <c r="M52" s="35">
        <f>IFERROR((tbl_financials[[#This Row],[Net Income]]-INDEX(tbl_financials[Net Income],MATCH(tbl_financials[[#This Row],[PreviousKey]],tbl_financials[Key],0)))/INDEX(tbl_financials[Net Income],MATCH(tbl_financials[[#This Row],[PreviousKey]],tbl_financials[Key],0)),"")</f>
        <v>1.9307875894988067</v>
      </c>
      <c r="N52" s="32" t="str">
        <f>tbl_financials[[#This Row],[Company ]]&amp;tbl_financials[[#This Row],[Year]]</f>
        <v>PYPL2015</v>
      </c>
      <c r="O52" s="32" t="str">
        <f>tbl_financials[[#This Row],[Company ]]&amp;(tbl_financials[[#This Row],[Year]]-1)</f>
        <v>PYPL2014</v>
      </c>
      <c r="P52"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52" s="4"/>
    </row>
    <row r="53" spans="1:17" x14ac:dyDescent="0.3">
      <c r="A53" s="7">
        <v>2014</v>
      </c>
      <c r="B53" s="3" t="s">
        <v>27</v>
      </c>
      <c r="C53" s="3" t="s">
        <v>46</v>
      </c>
      <c r="D53" s="5">
        <v>8025</v>
      </c>
      <c r="E53" s="5">
        <v>419</v>
      </c>
      <c r="F53" s="5">
        <v>1784</v>
      </c>
      <c r="G53" s="23">
        <f>VLOOKUP(tbl_financials[[#This Row],[Industry]],tbl_tax[[Industry]:[Tax Rate]],2,FALSE)</f>
        <v>0.28000000000000003</v>
      </c>
      <c r="H53" s="5">
        <f>tbl_financials[[#This Row],[Net Income]]*tbl_financials[[#This Row],[Tax Rate]]</f>
        <v>117.32000000000001</v>
      </c>
      <c r="I53" s="5">
        <f>tbl_financials[[#This Row],[Net Income]]-tbl_financials[[#This Row],[Tax Amount]]</f>
        <v>301.68</v>
      </c>
      <c r="J53" s="29">
        <f>tbl_financials[[#This Row],[Net Income]]/tbl_financials[[#This Row],[Revenue]]</f>
        <v>5.2211838006230527E-2</v>
      </c>
      <c r="K53" s="29">
        <f>tbl_financials[[#This Row],[EBITDA]]/tbl_financials[[#This Row],[Revenue]]</f>
        <v>0.22230529595015577</v>
      </c>
      <c r="L53"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53" s="35" t="str">
        <f>IFERROR((tbl_financials[[#This Row],[Net Income]]-INDEX(tbl_financials[Net Income],MATCH(tbl_financials[[#This Row],[PreviousKey]],tbl_financials[Key],0)))/INDEX(tbl_financials[Net Income],MATCH(tbl_financials[[#This Row],[PreviousKey]],tbl_financials[Key],0)),"")</f>
        <v/>
      </c>
      <c r="N53" s="32" t="str">
        <f>tbl_financials[[#This Row],[Company ]]&amp;tbl_financials[[#This Row],[Year]]</f>
        <v>PYPL2014</v>
      </c>
      <c r="O53" s="32" t="str">
        <f>tbl_financials[[#This Row],[Company ]]&amp;(tbl_financials[[#This Row],[Year]]-1)</f>
        <v>PYPL2013</v>
      </c>
      <c r="P53"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53" s="4"/>
    </row>
    <row r="54" spans="1:17" x14ac:dyDescent="0.3">
      <c r="A54" s="7">
        <v>2022</v>
      </c>
      <c r="B54" s="3" t="s">
        <v>29</v>
      </c>
      <c r="C54" s="3" t="s">
        <v>38</v>
      </c>
      <c r="D54" s="5">
        <v>56437</v>
      </c>
      <c r="E54" s="5">
        <v>10247</v>
      </c>
      <c r="F54" s="5">
        <v>20640</v>
      </c>
      <c r="G54" s="23">
        <f>VLOOKUP(tbl_financials[[#This Row],[Industry]],tbl_tax[[Industry]:[Tax Rate]],2,FALSE)</f>
        <v>0.3</v>
      </c>
      <c r="H54" s="5">
        <f>tbl_financials[[#This Row],[Net Income]]*tbl_financials[[#This Row],[Tax Rate]]</f>
        <v>3074.1</v>
      </c>
      <c r="I54" s="5">
        <f>tbl_financials[[#This Row],[Net Income]]-tbl_financials[[#This Row],[Tax Amount]]</f>
        <v>7172.9</v>
      </c>
      <c r="J54" s="29">
        <f>tbl_financials[[#This Row],[Net Income]]/tbl_financials[[#This Row],[Revenue]]</f>
        <v>0.18156528518525081</v>
      </c>
      <c r="K54" s="29">
        <f>tbl_financials[[#This Row],[EBITDA]]/tbl_financials[[#This Row],[Revenue]]</f>
        <v>0.36571752573666211</v>
      </c>
      <c r="L5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8.4138540446049528E-2</v>
      </c>
      <c r="M54" s="35">
        <f>IFERROR((tbl_financials[[#This Row],[Net Income]]-INDEX(tbl_financials[Net Income],MATCH(tbl_financials[[#This Row],[PreviousKey]],tbl_financials[Key],0)))/INDEX(tbl_financials[Net Income],MATCH(tbl_financials[[#This Row],[PreviousKey]],tbl_financials[Key],0)),"")</f>
        <v>9.4881931830323757E-2</v>
      </c>
      <c r="N54" s="32" t="str">
        <f>tbl_financials[[#This Row],[Company ]]&amp;tbl_financials[[#This Row],[Year]]</f>
        <v>AIG2022</v>
      </c>
      <c r="O54" s="32" t="str">
        <f>tbl_financials[[#This Row],[Company ]]&amp;(tbl_financials[[#This Row],[Year]]-1)</f>
        <v>AIG2021</v>
      </c>
      <c r="P5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54" s="4"/>
    </row>
    <row r="55" spans="1:17" x14ac:dyDescent="0.3">
      <c r="A55" s="7">
        <v>2021</v>
      </c>
      <c r="B55" s="3" t="s">
        <v>29</v>
      </c>
      <c r="C55" s="3" t="s">
        <v>38</v>
      </c>
      <c r="D55" s="5">
        <v>52057</v>
      </c>
      <c r="E55" s="5">
        <v>9359</v>
      </c>
      <c r="F55" s="5">
        <v>15382</v>
      </c>
      <c r="G55" s="23">
        <f>VLOOKUP(tbl_financials[[#This Row],[Industry]],tbl_tax[[Industry]:[Tax Rate]],2,FALSE)</f>
        <v>0.3</v>
      </c>
      <c r="H55" s="5">
        <f>tbl_financials[[#This Row],[Net Income]]*tbl_financials[[#This Row],[Tax Rate]]</f>
        <v>2807.7</v>
      </c>
      <c r="I55" s="5">
        <f>tbl_financials[[#This Row],[Net Income]]-tbl_financials[[#This Row],[Tax Amount]]</f>
        <v>6551.3</v>
      </c>
      <c r="J55" s="29">
        <f>tbl_financials[[#This Row],[Net Income]]/tbl_financials[[#This Row],[Revenue]]</f>
        <v>0.1797836986380314</v>
      </c>
      <c r="K55" s="29">
        <f>tbl_financials[[#This Row],[EBITDA]]/tbl_financials[[#This Row],[Revenue]]</f>
        <v>0.2954837966075648</v>
      </c>
      <c r="L5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0.19025516736784343</v>
      </c>
      <c r="M55" s="35">
        <f>IFERROR((tbl_financials[[#This Row],[Net Income]]-INDEX(tbl_financials[Net Income],MATCH(tbl_financials[[#This Row],[PreviousKey]],tbl_financials[Key],0)))/INDEX(tbl_financials[Net Income],MATCH(tbl_financials[[#This Row],[PreviousKey]],tbl_financials[Key],0)),"")</f>
        <v>-2.5668843127406662</v>
      </c>
      <c r="N55" s="32" t="str">
        <f>tbl_financials[[#This Row],[Company ]]&amp;tbl_financials[[#This Row],[Year]]</f>
        <v>AIG2021</v>
      </c>
      <c r="O55" s="32" t="str">
        <f>tbl_financials[[#This Row],[Company ]]&amp;(tbl_financials[[#This Row],[Year]]-1)</f>
        <v>AIG2020</v>
      </c>
      <c r="P55"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55" s="4"/>
    </row>
    <row r="56" spans="1:17" x14ac:dyDescent="0.3">
      <c r="A56" s="7">
        <v>2020</v>
      </c>
      <c r="B56" s="3" t="s">
        <v>29</v>
      </c>
      <c r="C56" s="3" t="s">
        <v>38</v>
      </c>
      <c r="D56" s="5">
        <v>43736</v>
      </c>
      <c r="E56" s="5">
        <v>-5973</v>
      </c>
      <c r="F56" s="5">
        <v>6821</v>
      </c>
      <c r="G56" s="23">
        <f>VLOOKUP(tbl_financials[[#This Row],[Industry]],tbl_tax[[Industry]:[Tax Rate]],2,FALSE)</f>
        <v>0.3</v>
      </c>
      <c r="H56" s="5">
        <f>tbl_financials[[#This Row],[Net Income]]*tbl_financials[[#This Row],[Tax Rate]]</f>
        <v>-1791.8999999999999</v>
      </c>
      <c r="I56" s="5">
        <f>tbl_financials[[#This Row],[Net Income]]-tbl_financials[[#This Row],[Tax Amount]]</f>
        <v>-4181.1000000000004</v>
      </c>
      <c r="J56" s="29">
        <f>tbl_financials[[#This Row],[Net Income]]/tbl_financials[[#This Row],[Revenue]]</f>
        <v>-0.13656941649899396</v>
      </c>
      <c r="K56" s="29">
        <f>tbl_financials[[#This Row],[EBITDA]]/tbl_financials[[#This Row],[Revenue]]</f>
        <v>0.15595847814157673</v>
      </c>
      <c r="L5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-0.12081373376753909</v>
      </c>
      <c r="M56" s="35">
        <f>IFERROR((tbl_financials[[#This Row],[Net Income]]-INDEX(tbl_financials[Net Income],MATCH(tbl_financials[[#This Row],[PreviousKey]],tbl_financials[Key],0)))/INDEX(tbl_financials[Net Income],MATCH(tbl_financials[[#This Row],[PreviousKey]],tbl_financials[Key],0)),"")</f>
        <v>-2.79585087191822</v>
      </c>
      <c r="N56" s="32" t="str">
        <f>tbl_financials[[#This Row],[Company ]]&amp;tbl_financials[[#This Row],[Year]]</f>
        <v>AIG2020</v>
      </c>
      <c r="O56" s="32" t="str">
        <f>tbl_financials[[#This Row],[Company ]]&amp;(tbl_financials[[#This Row],[Year]]-1)</f>
        <v>AIG2019</v>
      </c>
      <c r="P56"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56" s="4"/>
    </row>
    <row r="57" spans="1:17" x14ac:dyDescent="0.3">
      <c r="A57" s="7">
        <v>2019</v>
      </c>
      <c r="B57" s="3" t="s">
        <v>29</v>
      </c>
      <c r="C57" s="3" t="s">
        <v>38</v>
      </c>
      <c r="D57" s="5">
        <v>49746</v>
      </c>
      <c r="E57" s="5">
        <v>3326</v>
      </c>
      <c r="F57" s="5">
        <v>11817</v>
      </c>
      <c r="G57" s="23">
        <f>VLOOKUP(tbl_financials[[#This Row],[Industry]],tbl_tax[[Industry]:[Tax Rate]],2,FALSE)</f>
        <v>0.3</v>
      </c>
      <c r="H57" s="5">
        <f>tbl_financials[[#This Row],[Net Income]]*tbl_financials[[#This Row],[Tax Rate]]</f>
        <v>997.8</v>
      </c>
      <c r="I57" s="5">
        <f>tbl_financials[[#This Row],[Net Income]]-tbl_financials[[#This Row],[Tax Amount]]</f>
        <v>2328.1999999999998</v>
      </c>
      <c r="J57" s="29">
        <f>tbl_financials[[#This Row],[Net Income]]/tbl_financials[[#This Row],[Revenue]]</f>
        <v>6.6859647006794518E-2</v>
      </c>
      <c r="K57" s="29">
        <f>tbl_financials[[#This Row],[EBITDA]]/tbl_financials[[#This Row],[Revenue]]</f>
        <v>0.23754673742612473</v>
      </c>
      <c r="L5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4.973728080356201E-2</v>
      </c>
      <c r="M57" s="35">
        <f>IFERROR((tbl_financials[[#This Row],[Net Income]]-INDEX(tbl_financials[Net Income],MATCH(tbl_financials[[#This Row],[PreviousKey]],tbl_financials[Key],0)))/INDEX(tbl_financials[Net Income],MATCH(tbl_financials[[#This Row],[PreviousKey]],tbl_financials[Key],0)),"")</f>
        <v>-555.33333333333337</v>
      </c>
      <c r="N57" s="32" t="str">
        <f>tbl_financials[[#This Row],[Company ]]&amp;tbl_financials[[#This Row],[Year]]</f>
        <v>AIG2019</v>
      </c>
      <c r="O57" s="32" t="str">
        <f>tbl_financials[[#This Row],[Company ]]&amp;(tbl_financials[[#This Row],[Year]]-1)</f>
        <v>AIG2018</v>
      </c>
      <c r="P57"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57" s="4"/>
    </row>
    <row r="58" spans="1:17" x14ac:dyDescent="0.3">
      <c r="A58" s="7">
        <v>2018</v>
      </c>
      <c r="B58" s="3" t="s">
        <v>29</v>
      </c>
      <c r="C58" s="3" t="s">
        <v>38</v>
      </c>
      <c r="D58" s="5">
        <v>47389</v>
      </c>
      <c r="E58" s="5">
        <v>-6</v>
      </c>
      <c r="F58" s="5">
        <v>6897</v>
      </c>
      <c r="G58" s="23">
        <f>VLOOKUP(tbl_financials[[#This Row],[Industry]],tbl_tax[[Industry]:[Tax Rate]],2,FALSE)</f>
        <v>0.3</v>
      </c>
      <c r="H58" s="5">
        <f>tbl_financials[[#This Row],[Net Income]]*tbl_financials[[#This Row],[Tax Rate]]</f>
        <v>-1.7999999999999998</v>
      </c>
      <c r="I58" s="5">
        <f>tbl_financials[[#This Row],[Net Income]]-tbl_financials[[#This Row],[Tax Amount]]</f>
        <v>-4.2</v>
      </c>
      <c r="J58" s="29">
        <f>tbl_financials[[#This Row],[Net Income]]/tbl_financials[[#This Row],[Revenue]]</f>
        <v>-1.2661166093397202E-4</v>
      </c>
      <c r="K58" s="29">
        <f>tbl_financials[[#This Row],[EBITDA]]/tbl_financials[[#This Row],[Revenue]]</f>
        <v>0.14554010424360084</v>
      </c>
      <c r="L5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-4.3033117932148625E-2</v>
      </c>
      <c r="M58" s="35">
        <f>IFERROR((tbl_financials[[#This Row],[Net Income]]-INDEX(tbl_financials[Net Income],MATCH(tbl_financials[[#This Row],[PreviousKey]],tbl_financials[Key],0)))/INDEX(tbl_financials[Net Income],MATCH(tbl_financials[[#This Row],[PreviousKey]],tbl_financials[Key],0)),"")</f>
        <v>-0.99901380670611439</v>
      </c>
      <c r="N58" s="32" t="str">
        <f>tbl_financials[[#This Row],[Company ]]&amp;tbl_financials[[#This Row],[Year]]</f>
        <v>AIG2018</v>
      </c>
      <c r="O58" s="32" t="str">
        <f>tbl_financials[[#This Row],[Company ]]&amp;(tbl_financials[[#This Row],[Year]]-1)</f>
        <v>AIG2017</v>
      </c>
      <c r="P58"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58" s="4"/>
    </row>
    <row r="59" spans="1:17" x14ac:dyDescent="0.3">
      <c r="A59" s="7">
        <v>2017</v>
      </c>
      <c r="B59" s="3" t="s">
        <v>29</v>
      </c>
      <c r="C59" s="3" t="s">
        <v>38</v>
      </c>
      <c r="D59" s="5">
        <v>49520</v>
      </c>
      <c r="E59" s="5">
        <v>-6084</v>
      </c>
      <c r="F59" s="5">
        <v>6435</v>
      </c>
      <c r="G59" s="23">
        <f>VLOOKUP(tbl_financials[[#This Row],[Industry]],tbl_tax[[Industry]:[Tax Rate]],2,FALSE)</f>
        <v>0.3</v>
      </c>
      <c r="H59" s="5">
        <f>tbl_financials[[#This Row],[Net Income]]*tbl_financials[[#This Row],[Tax Rate]]</f>
        <v>-1825.2</v>
      </c>
      <c r="I59" s="5">
        <f>tbl_financials[[#This Row],[Net Income]]-tbl_financials[[#This Row],[Tax Amount]]</f>
        <v>-4258.8</v>
      </c>
      <c r="J59" s="29">
        <f>tbl_financials[[#This Row],[Net Income]]/tbl_financials[[#This Row],[Revenue]]</f>
        <v>-0.122859450726979</v>
      </c>
      <c r="K59" s="29">
        <f>tbl_financials[[#This Row],[EBITDA]]/tbl_financials[[#This Row],[Revenue]]</f>
        <v>0.12994749596122779</v>
      </c>
      <c r="L5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-5.4366299387018542E-2</v>
      </c>
      <c r="M59" s="35">
        <f>IFERROR((tbl_financials[[#This Row],[Net Income]]-INDEX(tbl_financials[Net Income],MATCH(tbl_financials[[#This Row],[PreviousKey]],tbl_financials[Key],0)))/INDEX(tbl_financials[Net Income],MATCH(tbl_financials[[#This Row],[PreviousKey]],tbl_financials[Key],0)),"")</f>
        <v>6.1660777385159014</v>
      </c>
      <c r="N59" s="32" t="str">
        <f>tbl_financials[[#This Row],[Company ]]&amp;tbl_financials[[#This Row],[Year]]</f>
        <v>AIG2017</v>
      </c>
      <c r="O59" s="32" t="str">
        <f>tbl_financials[[#This Row],[Company ]]&amp;(tbl_financials[[#This Row],[Year]]-1)</f>
        <v>AIG2016</v>
      </c>
      <c r="P59"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59" s="4"/>
    </row>
    <row r="60" spans="1:17" x14ac:dyDescent="0.3">
      <c r="A60" s="7">
        <v>2016</v>
      </c>
      <c r="B60" s="3" t="s">
        <v>29</v>
      </c>
      <c r="C60" s="3" t="s">
        <v>38</v>
      </c>
      <c r="D60" s="5">
        <v>52367</v>
      </c>
      <c r="E60" s="5">
        <v>-849</v>
      </c>
      <c r="F60" s="5">
        <v>4805</v>
      </c>
      <c r="G60" s="23">
        <f>VLOOKUP(tbl_financials[[#This Row],[Industry]],tbl_tax[[Industry]:[Tax Rate]],2,FALSE)</f>
        <v>0.3</v>
      </c>
      <c r="H60" s="5">
        <f>tbl_financials[[#This Row],[Net Income]]*tbl_financials[[#This Row],[Tax Rate]]</f>
        <v>-254.7</v>
      </c>
      <c r="I60" s="5">
        <f>tbl_financials[[#This Row],[Net Income]]-tbl_financials[[#This Row],[Tax Amount]]</f>
        <v>-594.29999999999995</v>
      </c>
      <c r="J60" s="29">
        <f>tbl_financials[[#This Row],[Net Income]]/tbl_financials[[#This Row],[Revenue]]</f>
        <v>-1.6212500238699943E-2</v>
      </c>
      <c r="K60" s="29">
        <f>tbl_financials[[#This Row],[EBITDA]]/tbl_financials[[#This Row],[Revenue]]</f>
        <v>9.1756258712547972E-2</v>
      </c>
      <c r="L6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-0.1021825226738903</v>
      </c>
      <c r="M60" s="35">
        <f>IFERROR((tbl_financials[[#This Row],[Net Income]]-INDEX(tbl_financials[Net Income],MATCH(tbl_financials[[#This Row],[PreviousKey]],tbl_financials[Key],0)))/INDEX(tbl_financials[Net Income],MATCH(tbl_financials[[#This Row],[PreviousKey]],tbl_financials[Key],0)),"")</f>
        <v>-1.3866120218579234</v>
      </c>
      <c r="N60" s="32" t="str">
        <f>tbl_financials[[#This Row],[Company ]]&amp;tbl_financials[[#This Row],[Year]]</f>
        <v>AIG2016</v>
      </c>
      <c r="O60" s="32" t="str">
        <f>tbl_financials[[#This Row],[Company ]]&amp;(tbl_financials[[#This Row],[Year]]-1)</f>
        <v>AIG2015</v>
      </c>
      <c r="P60"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60" s="4"/>
    </row>
    <row r="61" spans="1:17" x14ac:dyDescent="0.3">
      <c r="A61" s="7">
        <v>2015</v>
      </c>
      <c r="B61" s="3" t="s">
        <v>29</v>
      </c>
      <c r="C61" s="3" t="s">
        <v>38</v>
      </c>
      <c r="D61" s="5">
        <v>58327</v>
      </c>
      <c r="E61" s="5">
        <v>2196</v>
      </c>
      <c r="F61" s="5">
        <v>9958</v>
      </c>
      <c r="G61" s="23">
        <f>VLOOKUP(tbl_financials[[#This Row],[Industry]],tbl_tax[[Industry]:[Tax Rate]],2,FALSE)</f>
        <v>0.3</v>
      </c>
      <c r="H61" s="5">
        <f>tbl_financials[[#This Row],[Net Income]]*tbl_financials[[#This Row],[Tax Rate]]</f>
        <v>658.8</v>
      </c>
      <c r="I61" s="5">
        <f>tbl_financials[[#This Row],[Net Income]]-tbl_financials[[#This Row],[Tax Amount]]</f>
        <v>1537.2</v>
      </c>
      <c r="J61" s="29">
        <f>tbl_financials[[#This Row],[Net Income]]/tbl_financials[[#This Row],[Revenue]]</f>
        <v>3.764980197850052E-2</v>
      </c>
      <c r="K61" s="29">
        <f>tbl_financials[[#This Row],[EBITDA]]/tbl_financials[[#This Row],[Revenue]]</f>
        <v>0.17072710751453016</v>
      </c>
      <c r="L6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-9.4385616246933521E-2</v>
      </c>
      <c r="M61" s="35">
        <f>IFERROR((tbl_financials[[#This Row],[Net Income]]-INDEX(tbl_financials[Net Income],MATCH(tbl_financials[[#This Row],[PreviousKey]],tbl_financials[Key],0)))/INDEX(tbl_financials[Net Income],MATCH(tbl_financials[[#This Row],[PreviousKey]],tbl_financials[Key],0)),"")</f>
        <v>-0.70832779917651745</v>
      </c>
      <c r="N61" s="32" t="str">
        <f>tbl_financials[[#This Row],[Company ]]&amp;tbl_financials[[#This Row],[Year]]</f>
        <v>AIG2015</v>
      </c>
      <c r="O61" s="32" t="str">
        <f>tbl_financials[[#This Row],[Company ]]&amp;(tbl_financials[[#This Row],[Year]]-1)</f>
        <v>AIG2014</v>
      </c>
      <c r="P6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61" s="4"/>
    </row>
    <row r="62" spans="1:17" x14ac:dyDescent="0.3">
      <c r="A62" s="7">
        <v>2014</v>
      </c>
      <c r="B62" s="3" t="s">
        <v>29</v>
      </c>
      <c r="C62" s="3" t="s">
        <v>38</v>
      </c>
      <c r="D62" s="5">
        <v>64406</v>
      </c>
      <c r="E62" s="5">
        <v>7529</v>
      </c>
      <c r="F62" s="5">
        <v>16752</v>
      </c>
      <c r="G62" s="23">
        <f>VLOOKUP(tbl_financials[[#This Row],[Industry]],tbl_tax[[Industry]:[Tax Rate]],2,FALSE)</f>
        <v>0.3</v>
      </c>
      <c r="H62" s="5">
        <f>tbl_financials[[#This Row],[Net Income]]*tbl_financials[[#This Row],[Tax Rate]]</f>
        <v>2258.6999999999998</v>
      </c>
      <c r="I62" s="5">
        <f>tbl_financials[[#This Row],[Net Income]]-tbl_financials[[#This Row],[Tax Amount]]</f>
        <v>5270.3</v>
      </c>
      <c r="J62" s="29">
        <f>tbl_financials[[#This Row],[Net Income]]/tbl_financials[[#This Row],[Revenue]]</f>
        <v>0.11689904667267025</v>
      </c>
      <c r="K62" s="29">
        <f>tbl_financials[[#This Row],[EBITDA]]/tbl_financials[[#This Row],[Revenue]]</f>
        <v>0.26009999068409778</v>
      </c>
      <c r="L6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-6.4872085257136225E-2</v>
      </c>
      <c r="M62" s="35">
        <f>IFERROR((tbl_financials[[#This Row],[Net Income]]-INDEX(tbl_financials[Net Income],MATCH(tbl_financials[[#This Row],[PreviousKey]],tbl_financials[Key],0)))/INDEX(tbl_financials[Net Income],MATCH(tbl_financials[[#This Row],[PreviousKey]],tbl_financials[Key],0)),"")</f>
        <v>-0.17127132636213538</v>
      </c>
      <c r="N62" s="32" t="str">
        <f>tbl_financials[[#This Row],[Company ]]&amp;tbl_financials[[#This Row],[Year]]</f>
        <v>AIG2014</v>
      </c>
      <c r="O62" s="32" t="str">
        <f>tbl_financials[[#This Row],[Company ]]&amp;(tbl_financials[[#This Row],[Year]]-1)</f>
        <v>AIG2013</v>
      </c>
      <c r="P6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62" s="4"/>
    </row>
    <row r="63" spans="1:17" x14ac:dyDescent="0.3">
      <c r="A63" s="7">
        <v>2013</v>
      </c>
      <c r="B63" s="3" t="s">
        <v>29</v>
      </c>
      <c r="C63" s="3" t="s">
        <v>38</v>
      </c>
      <c r="D63" s="5">
        <v>68874</v>
      </c>
      <c r="E63" s="5">
        <v>9085</v>
      </c>
      <c r="F63" s="5">
        <v>16922</v>
      </c>
      <c r="G63" s="23">
        <f>VLOOKUP(tbl_financials[[#This Row],[Industry]],tbl_tax[[Industry]:[Tax Rate]],2,FALSE)</f>
        <v>0.3</v>
      </c>
      <c r="H63" s="5">
        <f>tbl_financials[[#This Row],[Net Income]]*tbl_financials[[#This Row],[Tax Rate]]</f>
        <v>2725.5</v>
      </c>
      <c r="I63" s="5">
        <f>tbl_financials[[#This Row],[Net Income]]-tbl_financials[[#This Row],[Tax Amount]]</f>
        <v>6359.5</v>
      </c>
      <c r="J63" s="29">
        <f>tbl_financials[[#This Row],[Net Income]]/tbl_financials[[#This Row],[Revenue]]</f>
        <v>0.1319075413073148</v>
      </c>
      <c r="K63" s="29">
        <f>tbl_financials[[#This Row],[EBITDA]]/tbl_financials[[#This Row],[Revenue]]</f>
        <v>0.24569503731451636</v>
      </c>
      <c r="L6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-3.2858707557502739E-2</v>
      </c>
      <c r="M63" s="35">
        <f>IFERROR((tbl_financials[[#This Row],[Net Income]]-INDEX(tbl_financials[Net Income],MATCH(tbl_financials[[#This Row],[PreviousKey]],tbl_financials[Key],0)))/INDEX(tbl_financials[Net Income],MATCH(tbl_financials[[#This Row],[PreviousKey]],tbl_financials[Key],0)),"")</f>
        <v>1.6425247236765561</v>
      </c>
      <c r="N63" s="32" t="str">
        <f>tbl_financials[[#This Row],[Company ]]&amp;tbl_financials[[#This Row],[Year]]</f>
        <v>AIG2013</v>
      </c>
      <c r="O63" s="32" t="str">
        <f>tbl_financials[[#This Row],[Company ]]&amp;(tbl_financials[[#This Row],[Year]]-1)</f>
        <v>AIG2012</v>
      </c>
      <c r="P63"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63" s="4"/>
    </row>
    <row r="64" spans="1:17" x14ac:dyDescent="0.3">
      <c r="A64" s="7">
        <v>2012</v>
      </c>
      <c r="B64" s="3" t="s">
        <v>29</v>
      </c>
      <c r="C64" s="3" t="s">
        <v>38</v>
      </c>
      <c r="D64" s="5">
        <v>71214</v>
      </c>
      <c r="E64" s="5">
        <v>3438</v>
      </c>
      <c r="F64" s="5">
        <v>19327</v>
      </c>
      <c r="G64" s="23">
        <f>VLOOKUP(tbl_financials[[#This Row],[Industry]],tbl_tax[[Industry]:[Tax Rate]],2,FALSE)</f>
        <v>0.3</v>
      </c>
      <c r="H64" s="5">
        <f>tbl_financials[[#This Row],[Net Income]]*tbl_financials[[#This Row],[Tax Rate]]</f>
        <v>1031.3999999999999</v>
      </c>
      <c r="I64" s="5">
        <f>tbl_financials[[#This Row],[Net Income]]-tbl_financials[[#This Row],[Tax Amount]]</f>
        <v>2406.6000000000004</v>
      </c>
      <c r="J64" s="29">
        <f>tbl_financials[[#This Row],[Net Income]]/tbl_financials[[#This Row],[Revenue]]</f>
        <v>4.8277024180638638E-2</v>
      </c>
      <c r="K64" s="29">
        <f>tbl_financials[[#This Row],[EBITDA]]/tbl_financials[[#This Row],[Revenue]]</f>
        <v>0.27139326536916897</v>
      </c>
      <c r="L6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9.3833038937101598E-2</v>
      </c>
      <c r="M64" s="35">
        <f>IFERROR((tbl_financials[[#This Row],[Net Income]]-INDEX(tbl_financials[Net Income],MATCH(tbl_financials[[#This Row],[PreviousKey]],tbl_financials[Key],0)))/INDEX(tbl_financials[Net Income],MATCH(tbl_financials[[#This Row],[PreviousKey]],tbl_financials[Key],0)),"")</f>
        <v>-0.82645128722867234</v>
      </c>
      <c r="N64" s="32" t="str">
        <f>tbl_financials[[#This Row],[Company ]]&amp;tbl_financials[[#This Row],[Year]]</f>
        <v>AIG2012</v>
      </c>
      <c r="O64" s="32" t="str">
        <f>tbl_financials[[#This Row],[Company ]]&amp;(tbl_financials[[#This Row],[Year]]-1)</f>
        <v>AIG2011</v>
      </c>
      <c r="P6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64" s="4"/>
    </row>
    <row r="65" spans="1:17" x14ac:dyDescent="0.3">
      <c r="A65" s="7">
        <v>2011</v>
      </c>
      <c r="B65" s="3" t="s">
        <v>29</v>
      </c>
      <c r="C65" s="3" t="s">
        <v>38</v>
      </c>
      <c r="D65" s="5">
        <v>65105</v>
      </c>
      <c r="E65" s="5">
        <v>19810</v>
      </c>
      <c r="F65" s="5">
        <v>15225</v>
      </c>
      <c r="G65" s="23">
        <f>VLOOKUP(tbl_financials[[#This Row],[Industry]],tbl_tax[[Industry]:[Tax Rate]],2,FALSE)</f>
        <v>0.3</v>
      </c>
      <c r="H65" s="5">
        <f>tbl_financials[[#This Row],[Net Income]]*tbl_financials[[#This Row],[Tax Rate]]</f>
        <v>5943</v>
      </c>
      <c r="I65" s="5">
        <f>tbl_financials[[#This Row],[Net Income]]-tbl_financials[[#This Row],[Tax Amount]]</f>
        <v>13867</v>
      </c>
      <c r="J65" s="29">
        <f>tbl_financials[[#This Row],[Net Income]]/tbl_financials[[#This Row],[Revenue]]</f>
        <v>0.30427770524537284</v>
      </c>
      <c r="K65" s="29">
        <f>tbl_financials[[#This Row],[EBITDA]]/tbl_financials[[#This Row],[Revenue]]</f>
        <v>0.23385300668151449</v>
      </c>
      <c r="L6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-0.10605665325625781</v>
      </c>
      <c r="M65" s="35">
        <f>IFERROR((tbl_financials[[#This Row],[Net Income]]-INDEX(tbl_financials[Net Income],MATCH(tbl_financials[[#This Row],[PreviousKey]],tbl_financials[Key],0)))/INDEX(tbl_financials[Net Income],MATCH(tbl_financials[[#This Row],[PreviousKey]],tbl_financials[Key],0)),"")</f>
        <v>8.6823069403714559</v>
      </c>
      <c r="N65" s="32" t="str">
        <f>tbl_financials[[#This Row],[Company ]]&amp;tbl_financials[[#This Row],[Year]]</f>
        <v>AIG2011</v>
      </c>
      <c r="O65" s="32" t="str">
        <f>tbl_financials[[#This Row],[Company ]]&amp;(tbl_financials[[#This Row],[Year]]-1)</f>
        <v>AIG2010</v>
      </c>
      <c r="P65"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65" s="4"/>
    </row>
    <row r="66" spans="1:17" x14ac:dyDescent="0.3">
      <c r="A66" s="7">
        <v>2010</v>
      </c>
      <c r="B66" s="3" t="s">
        <v>29</v>
      </c>
      <c r="C66" s="3" t="s">
        <v>38</v>
      </c>
      <c r="D66" s="5">
        <v>72829</v>
      </c>
      <c r="E66" s="5">
        <v>2046</v>
      </c>
      <c r="F66" s="5">
        <v>21166</v>
      </c>
      <c r="G66" s="23">
        <f>VLOOKUP(tbl_financials[[#This Row],[Industry]],tbl_tax[[Industry]:[Tax Rate]],2,FALSE)</f>
        <v>0.3</v>
      </c>
      <c r="H66" s="5">
        <f>tbl_financials[[#This Row],[Net Income]]*tbl_financials[[#This Row],[Tax Rate]]</f>
        <v>613.79999999999995</v>
      </c>
      <c r="I66" s="5">
        <f>tbl_financials[[#This Row],[Net Income]]-tbl_financials[[#This Row],[Tax Amount]]</f>
        <v>1432.2</v>
      </c>
      <c r="J66" s="29">
        <f>tbl_financials[[#This Row],[Net Income]]/tbl_financials[[#This Row],[Revenue]]</f>
        <v>2.8093204630023755E-2</v>
      </c>
      <c r="K66" s="29">
        <f>tbl_financials[[#This Row],[EBITDA]]/tbl_financials[[#This Row],[Revenue]]</f>
        <v>0.29062598690082247</v>
      </c>
      <c r="L6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-3.4699855527721445E-2</v>
      </c>
      <c r="M66" s="35">
        <f>IFERROR((tbl_financials[[#This Row],[Net Income]]-INDEX(tbl_financials[Net Income],MATCH(tbl_financials[[#This Row],[PreviousKey]],tbl_financials[Key],0)))/INDEX(tbl_financials[Net Income],MATCH(tbl_financials[[#This Row],[PreviousKey]],tbl_financials[Key],0)),"")</f>
        <v>-1.1671022541653056</v>
      </c>
      <c r="N66" s="32" t="str">
        <f>tbl_financials[[#This Row],[Company ]]&amp;tbl_financials[[#This Row],[Year]]</f>
        <v>AIG2010</v>
      </c>
      <c r="O66" s="32" t="str">
        <f>tbl_financials[[#This Row],[Company ]]&amp;(tbl_financials[[#This Row],[Year]]-1)</f>
        <v>AIG2009</v>
      </c>
      <c r="P66"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66" s="4"/>
    </row>
    <row r="67" spans="1:17" x14ac:dyDescent="0.3">
      <c r="A67" s="7">
        <v>2009</v>
      </c>
      <c r="B67" s="3" t="s">
        <v>29</v>
      </c>
      <c r="C67" s="3" t="s">
        <v>38</v>
      </c>
      <c r="D67" s="5">
        <v>75447</v>
      </c>
      <c r="E67" s="5">
        <v>-12244</v>
      </c>
      <c r="F67" s="5">
        <v>27765</v>
      </c>
      <c r="G67" s="23">
        <f>VLOOKUP(tbl_financials[[#This Row],[Industry]],tbl_tax[[Industry]:[Tax Rate]],2,FALSE)</f>
        <v>0.3</v>
      </c>
      <c r="H67" s="5">
        <f>tbl_financials[[#This Row],[Net Income]]*tbl_financials[[#This Row],[Tax Rate]]</f>
        <v>-3673.2</v>
      </c>
      <c r="I67" s="5">
        <f>tbl_financials[[#This Row],[Net Income]]-tbl_financials[[#This Row],[Tax Amount]]</f>
        <v>-8570.7999999999993</v>
      </c>
      <c r="J67" s="29">
        <f>tbl_financials[[#This Row],[Net Income]]/tbl_financials[[#This Row],[Revenue]]</f>
        <v>-0.16228610812888516</v>
      </c>
      <c r="K67" s="29">
        <f>tbl_financials[[#This Row],[EBITDA]]/tbl_financials[[#This Row],[Revenue]]</f>
        <v>0.3680066801860909</v>
      </c>
      <c r="L67"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67" s="35" t="str">
        <f>IFERROR((tbl_financials[[#This Row],[Net Income]]-INDEX(tbl_financials[Net Income],MATCH(tbl_financials[[#This Row],[PreviousKey]],tbl_financials[Key],0)))/INDEX(tbl_financials[Net Income],MATCH(tbl_financials[[#This Row],[PreviousKey]],tbl_financials[Key],0)),"")</f>
        <v/>
      </c>
      <c r="N67" s="32" t="str">
        <f>tbl_financials[[#This Row],[Company ]]&amp;tbl_financials[[#This Row],[Year]]</f>
        <v>AIG2009</v>
      </c>
      <c r="O67" s="32" t="str">
        <f>tbl_financials[[#This Row],[Company ]]&amp;(tbl_financials[[#This Row],[Year]]-1)</f>
        <v>AIG2008</v>
      </c>
      <c r="P67"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67" s="4"/>
    </row>
    <row r="68" spans="1:17" x14ac:dyDescent="0.3">
      <c r="A68" s="7">
        <v>2022</v>
      </c>
      <c r="B68" s="3" t="s">
        <v>31</v>
      </c>
      <c r="C68" s="3" t="s">
        <v>47</v>
      </c>
      <c r="D68" s="5">
        <v>21680</v>
      </c>
      <c r="E68" s="5">
        <v>1800</v>
      </c>
      <c r="F68" s="5">
        <v>5693</v>
      </c>
      <c r="G68" s="23">
        <f>VLOOKUP(tbl_financials[[#This Row],[Industry]],tbl_tax[[Industry]:[Tax Rate]],2,FALSE)</f>
        <v>0.27</v>
      </c>
      <c r="H68" s="5">
        <f>tbl_financials[[#This Row],[Net Income]]*tbl_financials[[#This Row],[Tax Rate]]</f>
        <v>486.00000000000006</v>
      </c>
      <c r="I68" s="5">
        <f>tbl_financials[[#This Row],[Net Income]]-tbl_financials[[#This Row],[Tax Amount]]</f>
        <v>1314</v>
      </c>
      <c r="J68" s="29">
        <f>tbl_financials[[#This Row],[Net Income]]/tbl_financials[[#This Row],[Revenue]]</f>
        <v>8.3025830258302583E-2</v>
      </c>
      <c r="K68" s="29">
        <f>tbl_financials[[#This Row],[EBITDA]]/tbl_financials[[#This Row],[Revenue]]</f>
        <v>0.26259225092250921</v>
      </c>
      <c r="L6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5.0285825016955721E-2</v>
      </c>
      <c r="M68" s="35">
        <f>IFERROR((tbl_financials[[#This Row],[Net Income]]-INDEX(tbl_financials[Net Income],MATCH(tbl_financials[[#This Row],[PreviousKey]],tbl_financials[Key],0)))/INDEX(tbl_financials[Net Income],MATCH(tbl_financials[[#This Row],[PreviousKey]],tbl_financials[Key],0)),"")</f>
        <v>-18.647058823529413</v>
      </c>
      <c r="N68" s="32" t="str">
        <f>tbl_financials[[#This Row],[Company ]]&amp;tbl_financials[[#This Row],[Year]]</f>
        <v>PCG2022</v>
      </c>
      <c r="O68" s="32" t="str">
        <f>tbl_financials[[#This Row],[Company ]]&amp;(tbl_financials[[#This Row],[Year]]-1)</f>
        <v>PCG2021</v>
      </c>
      <c r="P68"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68" s="4"/>
    </row>
    <row r="69" spans="1:17" x14ac:dyDescent="0.3">
      <c r="A69" s="7">
        <v>2021</v>
      </c>
      <c r="B69" s="3" t="s">
        <v>31</v>
      </c>
      <c r="C69" s="3" t="s">
        <v>47</v>
      </c>
      <c r="D69" s="5">
        <v>20642</v>
      </c>
      <c r="E69" s="5">
        <v>-102</v>
      </c>
      <c r="F69" s="5">
        <v>5286</v>
      </c>
      <c r="G69" s="23">
        <f>VLOOKUP(tbl_financials[[#This Row],[Industry]],tbl_tax[[Industry]:[Tax Rate]],2,FALSE)</f>
        <v>0.27</v>
      </c>
      <c r="H69" s="5">
        <f>tbl_financials[[#This Row],[Net Income]]*tbl_financials[[#This Row],[Tax Rate]]</f>
        <v>-27.540000000000003</v>
      </c>
      <c r="I69" s="5">
        <f>tbl_financials[[#This Row],[Net Income]]-tbl_financials[[#This Row],[Tax Amount]]</f>
        <v>-74.459999999999994</v>
      </c>
      <c r="J69" s="29">
        <f>tbl_financials[[#This Row],[Net Income]]/tbl_financials[[#This Row],[Revenue]]</f>
        <v>-4.9413816490650134E-3</v>
      </c>
      <c r="K69" s="29">
        <f>tbl_financials[[#This Row],[EBITDA]]/tbl_financials[[#This Row],[Revenue]]</f>
        <v>0.2560798372250751</v>
      </c>
      <c r="L6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0.11765661378526179</v>
      </c>
      <c r="M69" s="35">
        <f>IFERROR((tbl_financials[[#This Row],[Net Income]]-INDEX(tbl_financials[Net Income],MATCH(tbl_financials[[#This Row],[PreviousKey]],tbl_financials[Key],0)))/INDEX(tbl_financials[Net Income],MATCH(tbl_financials[[#This Row],[PreviousKey]],tbl_financials[Key],0)),"")</f>
        <v>-0.9226100151745068</v>
      </c>
      <c r="N69" s="32" t="str">
        <f>tbl_financials[[#This Row],[Company ]]&amp;tbl_financials[[#This Row],[Year]]</f>
        <v>PCG2021</v>
      </c>
      <c r="O69" s="32" t="str">
        <f>tbl_financials[[#This Row],[Company ]]&amp;(tbl_financials[[#This Row],[Year]]-1)</f>
        <v>PCG2020</v>
      </c>
      <c r="P69"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69" s="4"/>
    </row>
    <row r="70" spans="1:17" x14ac:dyDescent="0.3">
      <c r="A70" s="7">
        <v>2020</v>
      </c>
      <c r="B70" s="3" t="s">
        <v>31</v>
      </c>
      <c r="C70" s="3" t="s">
        <v>47</v>
      </c>
      <c r="D70" s="5">
        <v>18469</v>
      </c>
      <c r="E70" s="5">
        <v>-1318</v>
      </c>
      <c r="F70" s="5">
        <v>5223</v>
      </c>
      <c r="G70" s="23">
        <f>VLOOKUP(tbl_financials[[#This Row],[Industry]],tbl_tax[[Industry]:[Tax Rate]],2,FALSE)</f>
        <v>0.27</v>
      </c>
      <c r="H70" s="5">
        <f>tbl_financials[[#This Row],[Net Income]]*tbl_financials[[#This Row],[Tax Rate]]</f>
        <v>-355.86</v>
      </c>
      <c r="I70" s="5">
        <f>tbl_financials[[#This Row],[Net Income]]-tbl_financials[[#This Row],[Tax Amount]]</f>
        <v>-962.14</v>
      </c>
      <c r="J70" s="29">
        <f>tbl_financials[[#This Row],[Net Income]]/tbl_financials[[#This Row],[Revenue]]</f>
        <v>-7.1362824191889107E-2</v>
      </c>
      <c r="K70" s="29">
        <f>tbl_financials[[#This Row],[EBITDA]]/tbl_financials[[#This Row],[Revenue]]</f>
        <v>0.28279820239319942</v>
      </c>
      <c r="L7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7.8229902504524496E-2</v>
      </c>
      <c r="M70" s="35">
        <f>IFERROR((tbl_financials[[#This Row],[Net Income]]-INDEX(tbl_financials[Net Income],MATCH(tbl_financials[[#This Row],[PreviousKey]],tbl_financials[Key],0)))/INDEX(tbl_financials[Net Income],MATCH(tbl_financials[[#This Row],[PreviousKey]],tbl_financials[Key],0)),"")</f>
        <v>-0.82784743991640541</v>
      </c>
      <c r="N70" s="32" t="str">
        <f>tbl_financials[[#This Row],[Company ]]&amp;tbl_financials[[#This Row],[Year]]</f>
        <v>PCG2020</v>
      </c>
      <c r="O70" s="32" t="str">
        <f>tbl_financials[[#This Row],[Company ]]&amp;(tbl_financials[[#This Row],[Year]]-1)</f>
        <v>PCG2019</v>
      </c>
      <c r="P70"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70" s="4"/>
    </row>
    <row r="71" spans="1:17" x14ac:dyDescent="0.3">
      <c r="A71" s="7">
        <v>2019</v>
      </c>
      <c r="B71" s="3" t="s">
        <v>31</v>
      </c>
      <c r="C71" s="3" t="s">
        <v>47</v>
      </c>
      <c r="D71" s="5">
        <v>17129</v>
      </c>
      <c r="E71" s="5">
        <v>-7656</v>
      </c>
      <c r="F71" s="5">
        <v>-6860</v>
      </c>
      <c r="G71" s="23">
        <f>VLOOKUP(tbl_financials[[#This Row],[Industry]],tbl_tax[[Industry]:[Tax Rate]],2,FALSE)</f>
        <v>0.27</v>
      </c>
      <c r="H71" s="5">
        <f>tbl_financials[[#This Row],[Net Income]]*tbl_financials[[#This Row],[Tax Rate]]</f>
        <v>-2067.1200000000003</v>
      </c>
      <c r="I71" s="5">
        <f>tbl_financials[[#This Row],[Net Income]]-tbl_financials[[#This Row],[Tax Amount]]</f>
        <v>-5588.8799999999992</v>
      </c>
      <c r="J71" s="29">
        <f>tbl_financials[[#This Row],[Net Income]]/tbl_financials[[#This Row],[Revenue]]</f>
        <v>-0.44696129371241755</v>
      </c>
      <c r="K71" s="29">
        <f>tbl_financials[[#This Row],[EBITDA]]/tbl_financials[[#This Row],[Revenue]]</f>
        <v>-0.40049039640375972</v>
      </c>
      <c r="L7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2.2077689599618117E-2</v>
      </c>
      <c r="M71" s="35">
        <f>IFERROR((tbl_financials[[#This Row],[Net Income]]-INDEX(tbl_financials[Net Income],MATCH(tbl_financials[[#This Row],[PreviousKey]],tbl_financials[Key],0)))/INDEX(tbl_financials[Net Income],MATCH(tbl_financials[[#This Row],[PreviousKey]],tbl_financials[Key],0)),"")</f>
        <v>0.11750109473069625</v>
      </c>
      <c r="N71" s="32" t="str">
        <f>tbl_financials[[#This Row],[Company ]]&amp;tbl_financials[[#This Row],[Year]]</f>
        <v>PCG2019</v>
      </c>
      <c r="O71" s="32" t="str">
        <f>tbl_financials[[#This Row],[Company ]]&amp;(tbl_financials[[#This Row],[Year]]-1)</f>
        <v>PCG2018</v>
      </c>
      <c r="P71"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71" s="4"/>
    </row>
    <row r="72" spans="1:17" x14ac:dyDescent="0.3">
      <c r="A72" s="7">
        <v>2018</v>
      </c>
      <c r="B72" s="3" t="s">
        <v>31</v>
      </c>
      <c r="C72" s="3" t="s">
        <v>47</v>
      </c>
      <c r="D72" s="5">
        <v>16759</v>
      </c>
      <c r="E72" s="5">
        <v>-6851</v>
      </c>
      <c r="F72" s="5">
        <v>-6664</v>
      </c>
      <c r="G72" s="23">
        <f>VLOOKUP(tbl_financials[[#This Row],[Industry]],tbl_tax[[Industry]:[Tax Rate]],2,FALSE)</f>
        <v>0.27</v>
      </c>
      <c r="H72" s="5">
        <f>tbl_financials[[#This Row],[Net Income]]*tbl_financials[[#This Row],[Tax Rate]]</f>
        <v>-1849.7700000000002</v>
      </c>
      <c r="I72" s="5">
        <f>tbl_financials[[#This Row],[Net Income]]-tbl_financials[[#This Row],[Tax Amount]]</f>
        <v>-5001.2299999999996</v>
      </c>
      <c r="J72" s="29">
        <f>tbl_financials[[#This Row],[Net Income]]/tbl_financials[[#This Row],[Revenue]]</f>
        <v>-0.40879527418103706</v>
      </c>
      <c r="K72" s="29">
        <f>tbl_financials[[#This Row],[EBITDA]]/tbl_financials[[#This Row],[Revenue]]</f>
        <v>-0.39763709051852736</v>
      </c>
      <c r="L7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-2.1943390720747007E-2</v>
      </c>
      <c r="M72" s="35">
        <f>IFERROR((tbl_financials[[#This Row],[Net Income]]-INDEX(tbl_financials[Net Income],MATCH(tbl_financials[[#This Row],[PreviousKey]],tbl_financials[Key],0)))/INDEX(tbl_financials[Net Income],MATCH(tbl_financials[[#This Row],[PreviousKey]],tbl_financials[Key],0)),"")</f>
        <v>-5.1622114216281894</v>
      </c>
      <c r="N72" s="32" t="str">
        <f>tbl_financials[[#This Row],[Company ]]&amp;tbl_financials[[#This Row],[Year]]</f>
        <v>PCG2018</v>
      </c>
      <c r="O72" s="32" t="str">
        <f>tbl_financials[[#This Row],[Company ]]&amp;(tbl_financials[[#This Row],[Year]]-1)</f>
        <v>PCG2017</v>
      </c>
      <c r="P72"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72" s="4"/>
    </row>
    <row r="73" spans="1:17" x14ac:dyDescent="0.3">
      <c r="A73" s="7">
        <v>2017</v>
      </c>
      <c r="B73" s="3" t="s">
        <v>31</v>
      </c>
      <c r="C73" s="3" t="s">
        <v>47</v>
      </c>
      <c r="D73" s="5">
        <v>17135</v>
      </c>
      <c r="E73" s="5">
        <v>1646</v>
      </c>
      <c r="F73" s="5">
        <v>5759</v>
      </c>
      <c r="G73" s="23">
        <f>VLOOKUP(tbl_financials[[#This Row],[Industry]],tbl_tax[[Industry]:[Tax Rate]],2,FALSE)</f>
        <v>0.27</v>
      </c>
      <c r="H73" s="5">
        <f>tbl_financials[[#This Row],[Net Income]]*tbl_financials[[#This Row],[Tax Rate]]</f>
        <v>444.42</v>
      </c>
      <c r="I73" s="5">
        <f>tbl_financials[[#This Row],[Net Income]]-tbl_financials[[#This Row],[Tax Amount]]</f>
        <v>1201.58</v>
      </c>
      <c r="J73" s="29">
        <f>tbl_financials[[#This Row],[Net Income]]/tbl_financials[[#This Row],[Revenue]]</f>
        <v>9.6060694484972273E-2</v>
      </c>
      <c r="K73" s="29">
        <f>tbl_financials[[#This Row],[EBITDA]]/tbl_financials[[#This Row],[Revenue]]</f>
        <v>0.33609571053399473</v>
      </c>
      <c r="L7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-3.0057738027850108E-2</v>
      </c>
      <c r="M73" s="35">
        <f>IFERROR((tbl_financials[[#This Row],[Net Income]]-INDEX(tbl_financials[Net Income],MATCH(tbl_financials[[#This Row],[PreviousKey]],tbl_financials[Key],0)))/INDEX(tbl_financials[Net Income],MATCH(tbl_financials[[#This Row],[PreviousKey]],tbl_financials[Key],0)),"")</f>
        <v>0.18162239770279973</v>
      </c>
      <c r="N73" s="32" t="str">
        <f>tbl_financials[[#This Row],[Company ]]&amp;tbl_financials[[#This Row],[Year]]</f>
        <v>PCG2017</v>
      </c>
      <c r="O73" s="32" t="str">
        <f>tbl_financials[[#This Row],[Company ]]&amp;(tbl_financials[[#This Row],[Year]]-1)</f>
        <v>PCG2016</v>
      </c>
      <c r="P7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73" s="4"/>
    </row>
    <row r="74" spans="1:17" x14ac:dyDescent="0.3">
      <c r="A74" s="7">
        <v>2016</v>
      </c>
      <c r="B74" s="3" t="s">
        <v>31</v>
      </c>
      <c r="C74" s="3" t="s">
        <v>47</v>
      </c>
      <c r="D74" s="5">
        <v>17666</v>
      </c>
      <c r="E74" s="5">
        <v>1393</v>
      </c>
      <c r="F74" s="5">
        <v>4835</v>
      </c>
      <c r="G74" s="23">
        <f>VLOOKUP(tbl_financials[[#This Row],[Industry]],tbl_tax[[Industry]:[Tax Rate]],2,FALSE)</f>
        <v>0.27</v>
      </c>
      <c r="H74" s="5">
        <f>tbl_financials[[#This Row],[Net Income]]*tbl_financials[[#This Row],[Tax Rate]]</f>
        <v>376.11</v>
      </c>
      <c r="I74" s="5">
        <f>tbl_financials[[#This Row],[Net Income]]-tbl_financials[[#This Row],[Tax Amount]]</f>
        <v>1016.89</v>
      </c>
      <c r="J74" s="29">
        <f>tbl_financials[[#This Row],[Net Income]]/tbl_financials[[#This Row],[Revenue]]</f>
        <v>7.8852032152156679E-2</v>
      </c>
      <c r="K74" s="29">
        <f>tbl_financials[[#This Row],[EBITDA]]/tbl_financials[[#This Row],[Revenue]]</f>
        <v>0.27368957319144116</v>
      </c>
      <c r="L7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4.9486128438186894E-2</v>
      </c>
      <c r="M74" s="35">
        <f>IFERROR((tbl_financials[[#This Row],[Net Income]]-INDEX(tbl_financials[Net Income],MATCH(tbl_financials[[#This Row],[PreviousKey]],tbl_financials[Key],0)))/INDEX(tbl_financials[Net Income],MATCH(tbl_financials[[#This Row],[PreviousKey]],tbl_financials[Key],0)),"")</f>
        <v>0.59382151029748287</v>
      </c>
      <c r="N74" s="32" t="str">
        <f>tbl_financials[[#This Row],[Company ]]&amp;tbl_financials[[#This Row],[Year]]</f>
        <v>PCG2016</v>
      </c>
      <c r="O74" s="32" t="str">
        <f>tbl_financials[[#This Row],[Company ]]&amp;(tbl_financials[[#This Row],[Year]]-1)</f>
        <v>PCG2015</v>
      </c>
      <c r="P7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74" s="4"/>
    </row>
    <row r="75" spans="1:17" x14ac:dyDescent="0.3">
      <c r="A75" s="7">
        <v>2015</v>
      </c>
      <c r="B75" s="3" t="s">
        <v>31</v>
      </c>
      <c r="C75" s="3" t="s">
        <v>47</v>
      </c>
      <c r="D75" s="5">
        <v>16833</v>
      </c>
      <c r="E75" s="5">
        <v>874</v>
      </c>
      <c r="F75" s="5">
        <v>4120</v>
      </c>
      <c r="G75" s="23">
        <f>VLOOKUP(tbl_financials[[#This Row],[Industry]],tbl_tax[[Industry]:[Tax Rate]],2,FALSE)</f>
        <v>0.27</v>
      </c>
      <c r="H75" s="5">
        <f>tbl_financials[[#This Row],[Net Income]]*tbl_financials[[#This Row],[Tax Rate]]</f>
        <v>235.98000000000002</v>
      </c>
      <c r="I75" s="5">
        <f>tbl_financials[[#This Row],[Net Income]]-tbl_financials[[#This Row],[Tax Amount]]</f>
        <v>638.02</v>
      </c>
      <c r="J75" s="29">
        <f>tbl_financials[[#This Row],[Net Income]]/tbl_financials[[#This Row],[Revenue]]</f>
        <v>5.1921820234064039E-2</v>
      </c>
      <c r="K75" s="29">
        <f>tbl_financials[[#This Row],[EBITDA]]/tbl_financials[[#This Row],[Revenue]]</f>
        <v>0.24475732192716687</v>
      </c>
      <c r="L7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-1.5038033937975424E-2</v>
      </c>
      <c r="M75" s="35">
        <f>IFERROR((tbl_financials[[#This Row],[Net Income]]-INDEX(tbl_financials[Net Income],MATCH(tbl_financials[[#This Row],[PreviousKey]],tbl_financials[Key],0)))/INDEX(tbl_financials[Net Income],MATCH(tbl_financials[[#This Row],[PreviousKey]],tbl_financials[Key],0)),"")</f>
        <v>-0.39136490250696376</v>
      </c>
      <c r="N75" s="32" t="str">
        <f>tbl_financials[[#This Row],[Company ]]&amp;tbl_financials[[#This Row],[Year]]</f>
        <v>PCG2015</v>
      </c>
      <c r="O75" s="32" t="str">
        <f>tbl_financials[[#This Row],[Company ]]&amp;(tbl_financials[[#This Row],[Year]]-1)</f>
        <v>PCG2014</v>
      </c>
      <c r="P75"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75" s="4"/>
    </row>
    <row r="76" spans="1:17" x14ac:dyDescent="0.3">
      <c r="A76" s="7">
        <v>2014</v>
      </c>
      <c r="B76" s="3" t="s">
        <v>31</v>
      </c>
      <c r="C76" s="3" t="s">
        <v>47</v>
      </c>
      <c r="D76" s="5">
        <v>17090</v>
      </c>
      <c r="E76" s="5">
        <v>1436</v>
      </c>
      <c r="F76" s="5">
        <v>4883</v>
      </c>
      <c r="G76" s="23">
        <f>VLOOKUP(tbl_financials[[#This Row],[Industry]],tbl_tax[[Industry]:[Tax Rate]],2,FALSE)</f>
        <v>0.27</v>
      </c>
      <c r="H76" s="5">
        <f>tbl_financials[[#This Row],[Net Income]]*tbl_financials[[#This Row],[Tax Rate]]</f>
        <v>387.72</v>
      </c>
      <c r="I76" s="5">
        <f>tbl_financials[[#This Row],[Net Income]]-tbl_financials[[#This Row],[Tax Amount]]</f>
        <v>1048.28</v>
      </c>
      <c r="J76" s="29">
        <f>tbl_financials[[#This Row],[Net Income]]/tbl_financials[[#This Row],[Revenue]]</f>
        <v>8.4025746050321828E-2</v>
      </c>
      <c r="K76" s="29">
        <f>tbl_financials[[#This Row],[EBITDA]]/tbl_financials[[#This Row],[Revenue]]</f>
        <v>0.28572264482153303</v>
      </c>
      <c r="L7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9.5653288883190149E-2</v>
      </c>
      <c r="M76" s="35">
        <f>IFERROR((tbl_financials[[#This Row],[Net Income]]-INDEX(tbl_financials[Net Income],MATCH(tbl_financials[[#This Row],[PreviousKey]],tbl_financials[Key],0)))/INDEX(tbl_financials[Net Income],MATCH(tbl_financials[[#This Row],[PreviousKey]],tbl_financials[Key],0)),"")</f>
        <v>0.76412776412776418</v>
      </c>
      <c r="N76" s="32" t="str">
        <f>tbl_financials[[#This Row],[Company ]]&amp;tbl_financials[[#This Row],[Year]]</f>
        <v>PCG2014</v>
      </c>
      <c r="O76" s="32" t="str">
        <f>tbl_financials[[#This Row],[Company ]]&amp;(tbl_financials[[#This Row],[Year]]-1)</f>
        <v>PCG2013</v>
      </c>
      <c r="P7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76" s="4"/>
    </row>
    <row r="77" spans="1:17" x14ac:dyDescent="0.3">
      <c r="A77" s="7">
        <v>2013</v>
      </c>
      <c r="B77" s="3" t="s">
        <v>31</v>
      </c>
      <c r="C77" s="3" t="s">
        <v>47</v>
      </c>
      <c r="D77" s="5">
        <v>15598</v>
      </c>
      <c r="E77" s="5">
        <v>814</v>
      </c>
      <c r="F77" s="5">
        <v>3839</v>
      </c>
      <c r="G77" s="23">
        <f>VLOOKUP(tbl_financials[[#This Row],[Industry]],tbl_tax[[Industry]:[Tax Rate]],2,FALSE)</f>
        <v>0.27</v>
      </c>
      <c r="H77" s="5">
        <f>tbl_financials[[#This Row],[Net Income]]*tbl_financials[[#This Row],[Tax Rate]]</f>
        <v>219.78</v>
      </c>
      <c r="I77" s="5">
        <f>tbl_financials[[#This Row],[Net Income]]-tbl_financials[[#This Row],[Tax Amount]]</f>
        <v>594.22</v>
      </c>
      <c r="J77" s="29">
        <f>tbl_financials[[#This Row],[Net Income]]/tbl_financials[[#This Row],[Revenue]]</f>
        <v>5.2186177715091681E-2</v>
      </c>
      <c r="K77" s="29">
        <f>tbl_financials[[#This Row],[EBITDA]]/tbl_financials[[#This Row],[Revenue]]</f>
        <v>0.24612129760225671</v>
      </c>
      <c r="L7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3.7101063829787236E-2</v>
      </c>
      <c r="M77" s="35">
        <f>IFERROR((tbl_financials[[#This Row],[Net Income]]-INDEX(tbl_financials[Net Income],MATCH(tbl_financials[[#This Row],[PreviousKey]],tbl_financials[Key],0)))/INDEX(tbl_financials[Net Income],MATCH(tbl_financials[[#This Row],[PreviousKey]],tbl_financials[Key],0)),"")</f>
        <v>-2.4509803921568627E-3</v>
      </c>
      <c r="N77" s="32" t="str">
        <f>tbl_financials[[#This Row],[Company ]]&amp;tbl_financials[[#This Row],[Year]]</f>
        <v>PCG2013</v>
      </c>
      <c r="O77" s="32" t="str">
        <f>tbl_financials[[#This Row],[Company ]]&amp;(tbl_financials[[#This Row],[Year]]-1)</f>
        <v>PCG2012</v>
      </c>
      <c r="P7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77" s="4"/>
    </row>
    <row r="78" spans="1:17" x14ac:dyDescent="0.3">
      <c r="A78" s="7">
        <v>2012</v>
      </c>
      <c r="B78" s="3" t="s">
        <v>31</v>
      </c>
      <c r="C78" s="3" t="s">
        <v>47</v>
      </c>
      <c r="D78" s="5">
        <v>15040</v>
      </c>
      <c r="E78" s="5">
        <v>816</v>
      </c>
      <c r="F78" s="5">
        <v>3965</v>
      </c>
      <c r="G78" s="23">
        <f>VLOOKUP(tbl_financials[[#This Row],[Industry]],tbl_tax[[Industry]:[Tax Rate]],2,FALSE)</f>
        <v>0.27</v>
      </c>
      <c r="H78" s="5">
        <f>tbl_financials[[#This Row],[Net Income]]*tbl_financials[[#This Row],[Tax Rate]]</f>
        <v>220.32000000000002</v>
      </c>
      <c r="I78" s="5">
        <f>tbl_financials[[#This Row],[Net Income]]-tbl_financials[[#This Row],[Tax Amount]]</f>
        <v>595.67999999999995</v>
      </c>
      <c r="J78" s="29">
        <f>tbl_financials[[#This Row],[Net Income]]/tbl_financials[[#This Row],[Revenue]]</f>
        <v>5.4255319148936172E-2</v>
      </c>
      <c r="K78" s="29">
        <f>tbl_financials[[#This Row],[EBITDA]]/tbl_financials[[#This Row],[Revenue]]</f>
        <v>0.26363031914893614</v>
      </c>
      <c r="L7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5.6164749933137201E-3</v>
      </c>
      <c r="M78" s="35">
        <f>IFERROR((tbl_financials[[#This Row],[Net Income]]-INDEX(tbl_financials[Net Income],MATCH(tbl_financials[[#This Row],[PreviousKey]],tbl_financials[Key],0)))/INDEX(tbl_financials[Net Income],MATCH(tbl_financials[[#This Row],[PreviousKey]],tbl_financials[Key],0)),"")</f>
        <v>-3.3175355450236969E-2</v>
      </c>
      <c r="N78" s="32" t="str">
        <f>tbl_financials[[#This Row],[Company ]]&amp;tbl_financials[[#This Row],[Year]]</f>
        <v>PCG2012</v>
      </c>
      <c r="O78" s="32" t="str">
        <f>tbl_financials[[#This Row],[Company ]]&amp;(tbl_financials[[#This Row],[Year]]-1)</f>
        <v>PCG2011</v>
      </c>
      <c r="P7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78" s="4"/>
    </row>
    <row r="79" spans="1:17" x14ac:dyDescent="0.3">
      <c r="A79" s="7">
        <v>2011</v>
      </c>
      <c r="B79" s="3" t="s">
        <v>31</v>
      </c>
      <c r="C79" s="3" t="s">
        <v>47</v>
      </c>
      <c r="D79" s="5">
        <v>14956</v>
      </c>
      <c r="E79" s="5">
        <v>844</v>
      </c>
      <c r="F79" s="5">
        <v>4157</v>
      </c>
      <c r="G79" s="23">
        <f>VLOOKUP(tbl_financials[[#This Row],[Industry]],tbl_tax[[Industry]:[Tax Rate]],2,FALSE)</f>
        <v>0.27</v>
      </c>
      <c r="H79" s="5">
        <f>tbl_financials[[#This Row],[Net Income]]*tbl_financials[[#This Row],[Tax Rate]]</f>
        <v>227.88000000000002</v>
      </c>
      <c r="I79" s="5">
        <f>tbl_financials[[#This Row],[Net Income]]-tbl_financials[[#This Row],[Tax Amount]]</f>
        <v>616.12</v>
      </c>
      <c r="J79" s="29">
        <f>tbl_financials[[#This Row],[Net Income]]/tbl_financials[[#This Row],[Revenue]]</f>
        <v>5.6432201123295E-2</v>
      </c>
      <c r="K79" s="29">
        <f>tbl_financials[[#This Row],[EBITDA]]/tbl_financials[[#This Row],[Revenue]]</f>
        <v>0.27794864937148972</v>
      </c>
      <c r="L7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8.0557763167401195E-2</v>
      </c>
      <c r="M79" s="35">
        <f>IFERROR((tbl_financials[[#This Row],[Net Income]]-INDEX(tbl_financials[Net Income],MATCH(tbl_financials[[#This Row],[PreviousKey]],tbl_financials[Key],0)))/INDEX(tbl_financials[Net Income],MATCH(tbl_financials[[#This Row],[PreviousKey]],tbl_financials[Key],0)),"")</f>
        <v>-0.23202911737943585</v>
      </c>
      <c r="N79" s="32" t="str">
        <f>tbl_financials[[#This Row],[Company ]]&amp;tbl_financials[[#This Row],[Year]]</f>
        <v>PCG2011</v>
      </c>
      <c r="O79" s="32" t="str">
        <f>tbl_financials[[#This Row],[Company ]]&amp;(tbl_financials[[#This Row],[Year]]-1)</f>
        <v>PCG2010</v>
      </c>
      <c r="P7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79" s="4"/>
    </row>
    <row r="80" spans="1:17" x14ac:dyDescent="0.3">
      <c r="A80" s="7">
        <v>2010</v>
      </c>
      <c r="B80" s="3" t="s">
        <v>31</v>
      </c>
      <c r="C80" s="3" t="s">
        <v>47</v>
      </c>
      <c r="D80" s="5">
        <v>13841</v>
      </c>
      <c r="E80" s="5">
        <v>1099</v>
      </c>
      <c r="F80" s="5">
        <v>4213</v>
      </c>
      <c r="G80" s="23">
        <f>VLOOKUP(tbl_financials[[#This Row],[Industry]],tbl_tax[[Industry]:[Tax Rate]],2,FALSE)</f>
        <v>0.27</v>
      </c>
      <c r="H80" s="5">
        <f>tbl_financials[[#This Row],[Net Income]]*tbl_financials[[#This Row],[Tax Rate]]</f>
        <v>296.73</v>
      </c>
      <c r="I80" s="5">
        <f>tbl_financials[[#This Row],[Net Income]]-tbl_financials[[#This Row],[Tax Amount]]</f>
        <v>802.27</v>
      </c>
      <c r="J80" s="29">
        <f>tbl_financials[[#This Row],[Net Income]]/tbl_financials[[#This Row],[Revenue]]</f>
        <v>7.9401777328227729E-2</v>
      </c>
      <c r="K80" s="29">
        <f>tbl_financials[[#This Row],[EBITDA]]/tbl_financials[[#This Row],[Revenue]]</f>
        <v>0.30438552127736435</v>
      </c>
      <c r="L8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3.2987536383312185E-2</v>
      </c>
      <c r="M80" s="35">
        <f>IFERROR((tbl_financials[[#This Row],[Net Income]]-INDEX(tbl_financials[Net Income],MATCH(tbl_financials[[#This Row],[PreviousKey]],tbl_financials[Key],0)))/INDEX(tbl_financials[Net Income],MATCH(tbl_financials[[#This Row],[PreviousKey]],tbl_financials[Key],0)),"")</f>
        <v>-9.9180327868852461E-2</v>
      </c>
      <c r="N80" s="32" t="str">
        <f>tbl_financials[[#This Row],[Company ]]&amp;tbl_financials[[#This Row],[Year]]</f>
        <v>PCG2010</v>
      </c>
      <c r="O80" s="32" t="str">
        <f>tbl_financials[[#This Row],[Company ]]&amp;(tbl_financials[[#This Row],[Year]]-1)</f>
        <v>PCG2009</v>
      </c>
      <c r="P8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80" s="4"/>
    </row>
    <row r="81" spans="1:17" x14ac:dyDescent="0.3">
      <c r="A81" s="7">
        <v>2009</v>
      </c>
      <c r="B81" s="3" t="s">
        <v>31</v>
      </c>
      <c r="C81" s="3" t="s">
        <v>47</v>
      </c>
      <c r="D81" s="5">
        <v>13399</v>
      </c>
      <c r="E81" s="5">
        <v>1220</v>
      </c>
      <c r="F81" s="5">
        <v>4051</v>
      </c>
      <c r="G81" s="23">
        <f>VLOOKUP(tbl_financials[[#This Row],[Industry]],tbl_tax[[Industry]:[Tax Rate]],2,FALSE)</f>
        <v>0.27</v>
      </c>
      <c r="H81" s="5">
        <f>tbl_financials[[#This Row],[Net Income]]*tbl_financials[[#This Row],[Tax Rate]]</f>
        <v>329.40000000000003</v>
      </c>
      <c r="I81" s="5">
        <f>tbl_financials[[#This Row],[Net Income]]-tbl_financials[[#This Row],[Tax Amount]]</f>
        <v>890.59999999999991</v>
      </c>
      <c r="J81" s="29">
        <f>tbl_financials[[#This Row],[Net Income]]/tbl_financials[[#This Row],[Revenue]]</f>
        <v>9.105157101276215E-2</v>
      </c>
      <c r="K81" s="29">
        <f>tbl_financials[[#This Row],[EBITDA]]/tbl_financials[[#This Row],[Revenue]]</f>
        <v>0.30233599522352417</v>
      </c>
      <c r="L81"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81" s="35" t="str">
        <f>IFERROR((tbl_financials[[#This Row],[Net Income]]-INDEX(tbl_financials[Net Income],MATCH(tbl_financials[[#This Row],[PreviousKey]],tbl_financials[Key],0)))/INDEX(tbl_financials[Net Income],MATCH(tbl_financials[[#This Row],[PreviousKey]],tbl_financials[Key],0)),"")</f>
        <v/>
      </c>
      <c r="N81" s="32" t="str">
        <f>tbl_financials[[#This Row],[Company ]]&amp;tbl_financials[[#This Row],[Year]]</f>
        <v>PCG2009</v>
      </c>
      <c r="O81" s="32" t="str">
        <f>tbl_financials[[#This Row],[Company ]]&amp;(tbl_financials[[#This Row],[Year]]-1)</f>
        <v>PCG2008</v>
      </c>
      <c r="P81"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81" s="4"/>
    </row>
    <row r="82" spans="1:17" x14ac:dyDescent="0.3">
      <c r="A82" s="7">
        <v>2018</v>
      </c>
      <c r="B82" s="3" t="s">
        <v>33</v>
      </c>
      <c r="C82" s="3" t="s">
        <v>48</v>
      </c>
      <c r="D82" s="5">
        <v>16702</v>
      </c>
      <c r="E82" s="5">
        <v>-383</v>
      </c>
      <c r="F82" s="5">
        <v>-52</v>
      </c>
      <c r="G82" s="23">
        <f>VLOOKUP(tbl_financials[[#This Row],[Industry]],tbl_tax[[Industry]:[Tax Rate]],2,FALSE)</f>
        <v>0.3</v>
      </c>
      <c r="H82" s="5">
        <f>tbl_financials[[#This Row],[Net Income]]*tbl_financials[[#This Row],[Tax Rate]]</f>
        <v>-114.89999999999999</v>
      </c>
      <c r="I82" s="5">
        <f>tbl_financials[[#This Row],[Net Income]]-tbl_financials[[#This Row],[Tax Amount]]</f>
        <v>-268.10000000000002</v>
      </c>
      <c r="J82" s="29">
        <f>tbl_financials[[#This Row],[Net Income]]/tbl_financials[[#This Row],[Revenue]]</f>
        <v>-2.2931385462818824E-2</v>
      </c>
      <c r="K82" s="29">
        <f>tbl_financials[[#This Row],[EBITDA]]/tbl_financials[[#This Row],[Revenue]]</f>
        <v>-3.1133995928631303E-3</v>
      </c>
      <c r="L8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-0.24555063691390369</v>
      </c>
      <c r="M82" s="35">
        <f>IFERROR((tbl_financials[[#This Row],[Net Income]]-INDEX(tbl_financials[Net Income],MATCH(tbl_financials[[#This Row],[PreviousKey]],tbl_financials[Key],0)))/INDEX(tbl_financials[Net Income],MATCH(tbl_financials[[#This Row],[PreviousKey]],tbl_financials[Key],0)),"")</f>
        <v>-0.82755515533543444</v>
      </c>
      <c r="N82" s="32" t="str">
        <f>tbl_financials[[#This Row],[Company ]]&amp;tbl_financials[[#This Row],[Year]]</f>
        <v>SHLDQ2018</v>
      </c>
      <c r="O82" s="32" t="str">
        <f>tbl_financials[[#This Row],[Company ]]&amp;(tbl_financials[[#This Row],[Year]]-1)</f>
        <v>SHLDQ2017</v>
      </c>
      <c r="P82"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82" s="4"/>
    </row>
    <row r="83" spans="1:17" x14ac:dyDescent="0.3">
      <c r="A83" s="7">
        <v>2017</v>
      </c>
      <c r="B83" s="3" t="s">
        <v>33</v>
      </c>
      <c r="C83" s="3" t="s">
        <v>48</v>
      </c>
      <c r="D83" s="5">
        <v>22138</v>
      </c>
      <c r="E83" s="5">
        <v>-2221</v>
      </c>
      <c r="F83" s="5">
        <v>-1610</v>
      </c>
      <c r="G83" s="23">
        <f>VLOOKUP(tbl_financials[[#This Row],[Industry]],tbl_tax[[Industry]:[Tax Rate]],2,FALSE)</f>
        <v>0.3</v>
      </c>
      <c r="H83" s="5">
        <f>tbl_financials[[#This Row],[Net Income]]*tbl_financials[[#This Row],[Tax Rate]]</f>
        <v>-666.3</v>
      </c>
      <c r="I83" s="5">
        <f>tbl_financials[[#This Row],[Net Income]]-tbl_financials[[#This Row],[Tax Amount]]</f>
        <v>-1554.7</v>
      </c>
      <c r="J83" s="29">
        <f>tbl_financials[[#This Row],[Net Income]]/tbl_financials[[#This Row],[Revenue]]</f>
        <v>-0.10032523263167405</v>
      </c>
      <c r="K83" s="29">
        <f>tbl_financials[[#This Row],[EBITDA]]/tbl_financials[[#This Row],[Revenue]]</f>
        <v>-7.2725630138223862E-2</v>
      </c>
      <c r="L8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-0.11962141095999364</v>
      </c>
      <c r="M83" s="35">
        <f>IFERROR((tbl_financials[[#This Row],[Net Income]]-INDEX(tbl_financials[Net Income],MATCH(tbl_financials[[#This Row],[PreviousKey]],tbl_financials[Key],0)))/INDEX(tbl_financials[Net Income],MATCH(tbl_financials[[#This Row],[PreviousKey]],tbl_financials[Key],0)),"")</f>
        <v>0.96722763507528786</v>
      </c>
      <c r="N83" s="32" t="str">
        <f>tbl_financials[[#This Row],[Company ]]&amp;tbl_financials[[#This Row],[Year]]</f>
        <v>SHLDQ2017</v>
      </c>
      <c r="O83" s="32" t="str">
        <f>tbl_financials[[#This Row],[Company ]]&amp;(tbl_financials[[#This Row],[Year]]-1)</f>
        <v>SHLDQ2016</v>
      </c>
      <c r="P83"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83" s="4"/>
    </row>
    <row r="84" spans="1:17" x14ac:dyDescent="0.3">
      <c r="A84" s="7">
        <v>2016</v>
      </c>
      <c r="B84" s="3" t="s">
        <v>33</v>
      </c>
      <c r="C84" s="3" t="s">
        <v>48</v>
      </c>
      <c r="D84" s="5">
        <v>25146</v>
      </c>
      <c r="E84" s="5">
        <v>-1129</v>
      </c>
      <c r="F84" s="5">
        <v>-570</v>
      </c>
      <c r="G84" s="23">
        <f>VLOOKUP(tbl_financials[[#This Row],[Industry]],tbl_tax[[Industry]:[Tax Rate]],2,FALSE)</f>
        <v>0.3</v>
      </c>
      <c r="H84" s="5">
        <f>tbl_financials[[#This Row],[Net Income]]*tbl_financials[[#This Row],[Tax Rate]]</f>
        <v>-338.7</v>
      </c>
      <c r="I84" s="5">
        <f>tbl_financials[[#This Row],[Net Income]]-tbl_financials[[#This Row],[Tax Amount]]</f>
        <v>-790.3</v>
      </c>
      <c r="J84" s="29">
        <f>tbl_financials[[#This Row],[Net Income]]/tbl_financials[[#This Row],[Revenue]]</f>
        <v>-4.4897796866300806E-2</v>
      </c>
      <c r="K84" s="29">
        <f>tbl_financials[[#This Row],[EBITDA]]/tbl_financials[[#This Row],[Revenue]]</f>
        <v>-2.2667621092817943E-2</v>
      </c>
      <c r="L8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-0.19398679402525804</v>
      </c>
      <c r="M84" s="35">
        <f>IFERROR((tbl_financials[[#This Row],[Net Income]]-INDEX(tbl_financials[Net Income],MATCH(tbl_financials[[#This Row],[PreviousKey]],tbl_financials[Key],0)))/INDEX(tbl_financials[Net Income],MATCH(tbl_financials[[#This Row],[PreviousKey]],tbl_financials[Key],0)),"")</f>
        <v>-0.32877526753864444</v>
      </c>
      <c r="N84" s="32" t="str">
        <f>tbl_financials[[#This Row],[Company ]]&amp;tbl_financials[[#This Row],[Year]]</f>
        <v>SHLDQ2016</v>
      </c>
      <c r="O84" s="32" t="str">
        <f>tbl_financials[[#This Row],[Company ]]&amp;(tbl_financials[[#This Row],[Year]]-1)</f>
        <v>SHLDQ2015</v>
      </c>
      <c r="P84"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84" s="4"/>
    </row>
    <row r="85" spans="1:17" x14ac:dyDescent="0.3">
      <c r="A85" s="7">
        <v>2015</v>
      </c>
      <c r="B85" s="3" t="s">
        <v>33</v>
      </c>
      <c r="C85" s="3" t="s">
        <v>48</v>
      </c>
      <c r="D85" s="5">
        <v>31198</v>
      </c>
      <c r="E85" s="5">
        <v>-1682</v>
      </c>
      <c r="F85" s="5">
        <v>-889</v>
      </c>
      <c r="G85" s="23">
        <f>VLOOKUP(tbl_financials[[#This Row],[Industry]],tbl_tax[[Industry]:[Tax Rate]],2,FALSE)</f>
        <v>0.3</v>
      </c>
      <c r="H85" s="5">
        <f>tbl_financials[[#This Row],[Net Income]]*tbl_financials[[#This Row],[Tax Rate]]</f>
        <v>-504.59999999999997</v>
      </c>
      <c r="I85" s="5">
        <f>tbl_financials[[#This Row],[Net Income]]-tbl_financials[[#This Row],[Tax Amount]]</f>
        <v>-1177.4000000000001</v>
      </c>
      <c r="J85" s="29">
        <f>tbl_financials[[#This Row],[Net Income]]/tbl_financials[[#This Row],[Revenue]]</f>
        <v>-5.3913712417462657E-2</v>
      </c>
      <c r="K85" s="29">
        <f>tbl_financials[[#This Row],[EBITDA]]/tbl_financials[[#This Row],[Revenue]]</f>
        <v>-2.8495416372844414E-2</v>
      </c>
      <c r="L8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-0.13789101359566708</v>
      </c>
      <c r="M85" s="35">
        <f>IFERROR((tbl_financials[[#This Row],[Net Income]]-INDEX(tbl_financials[Net Income],MATCH(tbl_financials[[#This Row],[PreviousKey]],tbl_financials[Key],0)))/INDEX(tbl_financials[Net Income],MATCH(tbl_financials[[#This Row],[PreviousKey]],tbl_financials[Key],0)),"")</f>
        <v>0.23223443223443224</v>
      </c>
      <c r="N85" s="32" t="str">
        <f>tbl_financials[[#This Row],[Company ]]&amp;tbl_financials[[#This Row],[Year]]</f>
        <v>SHLDQ2015</v>
      </c>
      <c r="O85" s="32" t="str">
        <f>tbl_financials[[#This Row],[Company ]]&amp;(tbl_financials[[#This Row],[Year]]-1)</f>
        <v>SHLDQ2014</v>
      </c>
      <c r="P85"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85" s="4"/>
    </row>
    <row r="86" spans="1:17" x14ac:dyDescent="0.3">
      <c r="A86" s="7">
        <v>2014</v>
      </c>
      <c r="B86" s="3" t="s">
        <v>33</v>
      </c>
      <c r="C86" s="3" t="s">
        <v>48</v>
      </c>
      <c r="D86" s="5">
        <v>36188</v>
      </c>
      <c r="E86" s="5">
        <v>-1365</v>
      </c>
      <c r="F86" s="5">
        <v>-195</v>
      </c>
      <c r="G86" s="23">
        <f>VLOOKUP(tbl_financials[[#This Row],[Industry]],tbl_tax[[Industry]:[Tax Rate]],2,FALSE)</f>
        <v>0.3</v>
      </c>
      <c r="H86" s="5">
        <f>tbl_financials[[#This Row],[Net Income]]*tbl_financials[[#This Row],[Tax Rate]]</f>
        <v>-409.5</v>
      </c>
      <c r="I86" s="5">
        <f>tbl_financials[[#This Row],[Net Income]]-tbl_financials[[#This Row],[Tax Amount]]</f>
        <v>-955.5</v>
      </c>
      <c r="J86" s="29">
        <f>tbl_financials[[#This Row],[Net Income]]/tbl_financials[[#This Row],[Revenue]]</f>
        <v>-3.7719686083784683E-2</v>
      </c>
      <c r="K86" s="29">
        <f>tbl_financials[[#This Row],[EBITDA]]/tbl_financials[[#This Row],[Revenue]]</f>
        <v>-5.3885265833978112E-3</v>
      </c>
      <c r="L8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-9.1985747980127472E-2</v>
      </c>
      <c r="M86" s="35">
        <f>IFERROR((tbl_financials[[#This Row],[Net Income]]-INDEX(tbl_financials[Net Income],MATCH(tbl_financials[[#This Row],[PreviousKey]],tbl_financials[Key],0)))/INDEX(tbl_financials[Net Income],MATCH(tbl_financials[[#This Row],[PreviousKey]],tbl_financials[Key],0)),"")</f>
        <v>0.46774193548387094</v>
      </c>
      <c r="N86" s="32" t="str">
        <f>tbl_financials[[#This Row],[Company ]]&amp;tbl_financials[[#This Row],[Year]]</f>
        <v>SHLDQ2014</v>
      </c>
      <c r="O86" s="32" t="str">
        <f>tbl_financials[[#This Row],[Company ]]&amp;(tbl_financials[[#This Row],[Year]]-1)</f>
        <v>SHLDQ2013</v>
      </c>
      <c r="P86"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86" s="4"/>
    </row>
    <row r="87" spans="1:17" x14ac:dyDescent="0.3">
      <c r="A87" s="7">
        <v>2013</v>
      </c>
      <c r="B87" s="3" t="s">
        <v>33</v>
      </c>
      <c r="C87" s="3" t="s">
        <v>48</v>
      </c>
      <c r="D87" s="5">
        <v>39854</v>
      </c>
      <c r="E87" s="5">
        <v>-930</v>
      </c>
      <c r="F87" s="5">
        <v>-8</v>
      </c>
      <c r="G87" s="23">
        <f>VLOOKUP(tbl_financials[[#This Row],[Industry]],tbl_tax[[Industry]:[Tax Rate]],2,FALSE)</f>
        <v>0.3</v>
      </c>
      <c r="H87" s="5">
        <f>tbl_financials[[#This Row],[Net Income]]*tbl_financials[[#This Row],[Tax Rate]]</f>
        <v>-279</v>
      </c>
      <c r="I87" s="5">
        <f>tbl_financials[[#This Row],[Net Income]]-tbl_financials[[#This Row],[Tax Amount]]</f>
        <v>-651</v>
      </c>
      <c r="J87" s="29">
        <f>tbl_financials[[#This Row],[Net Income]]/tbl_financials[[#This Row],[Revenue]]</f>
        <v>-2.3335173382847393E-2</v>
      </c>
      <c r="K87" s="29">
        <f>tbl_financials[[#This Row],[EBITDA]]/tbl_financials[[#This Row],[Revenue]]</f>
        <v>-2.0073267426105285E-4</v>
      </c>
      <c r="L8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-4.1210575697067382E-2</v>
      </c>
      <c r="M87" s="35">
        <f>IFERROR((tbl_financials[[#This Row],[Net Income]]-INDEX(tbl_financials[Net Income],MATCH(tbl_financials[[#This Row],[PreviousKey]],tbl_financials[Key],0)))/INDEX(tbl_financials[Net Income],MATCH(tbl_financials[[#This Row],[PreviousKey]],tbl_financials[Key],0)),"")</f>
        <v>-0.70382165605095537</v>
      </c>
      <c r="N87" s="32" t="str">
        <f>tbl_financials[[#This Row],[Company ]]&amp;tbl_financials[[#This Row],[Year]]</f>
        <v>SHLDQ2013</v>
      </c>
      <c r="O87" s="32" t="str">
        <f>tbl_financials[[#This Row],[Company ]]&amp;(tbl_financials[[#This Row],[Year]]-1)</f>
        <v>SHLDQ2012</v>
      </c>
      <c r="P87"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87" s="4"/>
    </row>
    <row r="88" spans="1:17" x14ac:dyDescent="0.3">
      <c r="A88" s="7">
        <v>2012</v>
      </c>
      <c r="B88" s="3" t="s">
        <v>33</v>
      </c>
      <c r="C88" s="3" t="s">
        <v>48</v>
      </c>
      <c r="D88" s="5">
        <v>41567</v>
      </c>
      <c r="E88" s="5">
        <v>-3140</v>
      </c>
      <c r="F88" s="5">
        <v>-648</v>
      </c>
      <c r="G88" s="23">
        <f>VLOOKUP(tbl_financials[[#This Row],[Industry]],tbl_tax[[Industry]:[Tax Rate]],2,FALSE)</f>
        <v>0.3</v>
      </c>
      <c r="H88" s="5">
        <f>tbl_financials[[#This Row],[Net Income]]*tbl_financials[[#This Row],[Tax Rate]]</f>
        <v>-942</v>
      </c>
      <c r="I88" s="5">
        <f>tbl_financials[[#This Row],[Net Income]]-tbl_financials[[#This Row],[Tax Amount]]</f>
        <v>-2198</v>
      </c>
      <c r="J88" s="29">
        <f>tbl_financials[[#This Row],[Net Income]]/tbl_financials[[#This Row],[Revenue]]</f>
        <v>-7.5540693338465609E-2</v>
      </c>
      <c r="K88" s="29">
        <f>tbl_financials[[#This Row],[EBITDA]]/tbl_financials[[#This Row],[Revenue]]</f>
        <v>-1.558928958067698E-2</v>
      </c>
      <c r="L8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-2.5712544534033377E-2</v>
      </c>
      <c r="M88" s="35">
        <f>IFERROR((tbl_financials[[#This Row],[Net Income]]-INDEX(tbl_financials[Net Income],MATCH(tbl_financials[[#This Row],[PreviousKey]],tbl_financials[Key],0)))/INDEX(tbl_financials[Net Income],MATCH(tbl_financials[[#This Row],[PreviousKey]],tbl_financials[Key],0)),"")</f>
        <v>-24.609022556390979</v>
      </c>
      <c r="N88" s="32" t="str">
        <f>tbl_financials[[#This Row],[Company ]]&amp;tbl_financials[[#This Row],[Year]]</f>
        <v>SHLDQ2012</v>
      </c>
      <c r="O88" s="32" t="str">
        <f>tbl_financials[[#This Row],[Company ]]&amp;(tbl_financials[[#This Row],[Year]]-1)</f>
        <v>SHLDQ2011</v>
      </c>
      <c r="P88"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88" s="4"/>
    </row>
    <row r="89" spans="1:17" x14ac:dyDescent="0.3">
      <c r="A89" s="7">
        <v>2011</v>
      </c>
      <c r="B89" s="3" t="s">
        <v>33</v>
      </c>
      <c r="C89" s="3" t="s">
        <v>48</v>
      </c>
      <c r="D89" s="5">
        <v>42664</v>
      </c>
      <c r="E89" s="5">
        <v>133</v>
      </c>
      <c r="F89" s="5">
        <v>1306</v>
      </c>
      <c r="G89" s="23">
        <f>VLOOKUP(tbl_financials[[#This Row],[Industry]],tbl_tax[[Industry]:[Tax Rate]],2,FALSE)</f>
        <v>0.3</v>
      </c>
      <c r="H89" s="5">
        <f>tbl_financials[[#This Row],[Net Income]]*tbl_financials[[#This Row],[Tax Rate]]</f>
        <v>39.9</v>
      </c>
      <c r="I89" s="5">
        <f>tbl_financials[[#This Row],[Net Income]]-tbl_financials[[#This Row],[Tax Amount]]</f>
        <v>93.1</v>
      </c>
      <c r="J89" s="29">
        <f>tbl_financials[[#This Row],[Net Income]]/tbl_financials[[#This Row],[Revenue]]</f>
        <v>3.1173823363960249E-3</v>
      </c>
      <c r="K89" s="29">
        <f>tbl_financials[[#This Row],[EBITDA]]/tbl_financials[[#This Row],[Revenue]]</f>
        <v>3.0611288205512843E-2</v>
      </c>
      <c r="L8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-1.6051660516605167E-2</v>
      </c>
      <c r="M89" s="35">
        <f>IFERROR((tbl_financials[[#This Row],[Net Income]]-INDEX(tbl_financials[Net Income],MATCH(tbl_financials[[#This Row],[PreviousKey]],tbl_financials[Key],0)))/INDEX(tbl_financials[Net Income],MATCH(tbl_financials[[#This Row],[PreviousKey]],tbl_financials[Key],0)),"")</f>
        <v>-0.43404255319148938</v>
      </c>
      <c r="N89" s="32" t="str">
        <f>tbl_financials[[#This Row],[Company ]]&amp;tbl_financials[[#This Row],[Year]]</f>
        <v>SHLDQ2011</v>
      </c>
      <c r="O89" s="32" t="str">
        <f>tbl_financials[[#This Row],[Company ]]&amp;(tbl_financials[[#This Row],[Year]]-1)</f>
        <v>SHLDQ2010</v>
      </c>
      <c r="P8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89" s="4"/>
    </row>
    <row r="90" spans="1:17" x14ac:dyDescent="0.3">
      <c r="A90" s="7">
        <v>2010</v>
      </c>
      <c r="B90" s="3" t="s">
        <v>33</v>
      </c>
      <c r="C90" s="3" t="s">
        <v>48</v>
      </c>
      <c r="D90" s="5">
        <v>43360</v>
      </c>
      <c r="E90" s="5">
        <v>235</v>
      </c>
      <c r="F90" s="5">
        <v>1561</v>
      </c>
      <c r="G90" s="23">
        <f>VLOOKUP(tbl_financials[[#This Row],[Industry]],tbl_tax[[Industry]:[Tax Rate]],2,FALSE)</f>
        <v>0.3</v>
      </c>
      <c r="H90" s="5">
        <f>tbl_financials[[#This Row],[Net Income]]*tbl_financials[[#This Row],[Tax Rate]]</f>
        <v>70.5</v>
      </c>
      <c r="I90" s="5">
        <f>tbl_financials[[#This Row],[Net Income]]-tbl_financials[[#This Row],[Tax Amount]]</f>
        <v>164.5</v>
      </c>
      <c r="J90" s="29">
        <f>tbl_financials[[#This Row],[Net Income]]/tbl_financials[[#This Row],[Revenue]]</f>
        <v>5.4197416974169745E-3</v>
      </c>
      <c r="K90" s="29">
        <f>tbl_financials[[#This Row],[EBITDA]]/tbl_financials[[#This Row],[Revenue]]</f>
        <v>3.600092250922509E-2</v>
      </c>
      <c r="L9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-7.2909985033140903E-2</v>
      </c>
      <c r="M90" s="35">
        <f>IFERROR((tbl_financials[[#This Row],[Net Income]]-INDEX(tbl_financials[Net Income],MATCH(tbl_financials[[#This Row],[PreviousKey]],tbl_financials[Key],0)))/INDEX(tbl_financials[Net Income],MATCH(tbl_financials[[#This Row],[PreviousKey]],tbl_financials[Key],0)),"")</f>
        <v>3.4339622641509435</v>
      </c>
      <c r="N90" s="32" t="str">
        <f>tbl_financials[[#This Row],[Company ]]&amp;tbl_financials[[#This Row],[Year]]</f>
        <v>SHLDQ2010</v>
      </c>
      <c r="O90" s="32" t="str">
        <f>tbl_financials[[#This Row],[Company ]]&amp;(tbl_financials[[#This Row],[Year]]-1)</f>
        <v>SHLDQ2009</v>
      </c>
      <c r="P90"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90" s="4"/>
    </row>
    <row r="91" spans="1:17" x14ac:dyDescent="0.3">
      <c r="A91" s="7">
        <v>2009</v>
      </c>
      <c r="B91" s="3" t="s">
        <v>33</v>
      </c>
      <c r="C91" s="3" t="s">
        <v>48</v>
      </c>
      <c r="D91" s="5">
        <v>46770</v>
      </c>
      <c r="E91" s="5">
        <v>53</v>
      </c>
      <c r="F91" s="5">
        <v>1283</v>
      </c>
      <c r="G91" s="23">
        <f>VLOOKUP(tbl_financials[[#This Row],[Industry]],tbl_tax[[Industry]:[Tax Rate]],2,FALSE)</f>
        <v>0.3</v>
      </c>
      <c r="H91" s="5">
        <f>tbl_financials[[#This Row],[Net Income]]*tbl_financials[[#This Row],[Tax Rate]]</f>
        <v>15.899999999999999</v>
      </c>
      <c r="I91" s="5">
        <f>tbl_financials[[#This Row],[Net Income]]-tbl_financials[[#This Row],[Tax Amount]]</f>
        <v>37.1</v>
      </c>
      <c r="J91" s="29">
        <f>tbl_financials[[#This Row],[Net Income]]/tbl_financials[[#This Row],[Revenue]]</f>
        <v>1.1332050459696387E-3</v>
      </c>
      <c r="K91" s="29">
        <f>tbl_financials[[#This Row],[EBITDA]]/tbl_financials[[#This Row],[Revenue]]</f>
        <v>2.7432114603378233E-2</v>
      </c>
      <c r="L91"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91" s="35" t="str">
        <f>IFERROR((tbl_financials[[#This Row],[Net Income]]-INDEX(tbl_financials[Net Income],MATCH(tbl_financials[[#This Row],[PreviousKey]],tbl_financials[Key],0)))/INDEX(tbl_financials[Net Income],MATCH(tbl_financials[[#This Row],[PreviousKey]],tbl_financials[Key],0)),"")</f>
        <v/>
      </c>
      <c r="N91" s="32" t="str">
        <f>tbl_financials[[#This Row],[Company ]]&amp;tbl_financials[[#This Row],[Year]]</f>
        <v>SHLDQ2009</v>
      </c>
      <c r="O91" s="32" t="str">
        <f>tbl_financials[[#This Row],[Company ]]&amp;(tbl_financials[[#This Row],[Year]]-1)</f>
        <v>SHLDQ2008</v>
      </c>
      <c r="P91"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91" s="4"/>
    </row>
    <row r="92" spans="1:17" x14ac:dyDescent="0.3">
      <c r="A92" s="7">
        <v>2022</v>
      </c>
      <c r="B92" s="3" t="s">
        <v>35</v>
      </c>
      <c r="C92" s="3" t="s">
        <v>36</v>
      </c>
      <c r="D92" s="5">
        <v>23182.6</v>
      </c>
      <c r="E92" s="5">
        <v>6177.4</v>
      </c>
      <c r="F92" s="5">
        <v>11241.6</v>
      </c>
      <c r="G92" s="23">
        <f>VLOOKUP(tbl_financials[[#This Row],[Industry]],tbl_tax[[Industry]:[Tax Rate]],2,FALSE)</f>
        <v>0.24</v>
      </c>
      <c r="H92" s="5">
        <f>tbl_financials[[#This Row],[Net Income]]*tbl_financials[[#This Row],[Tax Rate]]</f>
        <v>1482.5759999999998</v>
      </c>
      <c r="I92" s="5">
        <f>tbl_financials[[#This Row],[Net Income]]-tbl_financials[[#This Row],[Tax Amount]]</f>
        <v>4694.8239999999996</v>
      </c>
      <c r="J92" s="29">
        <f>tbl_financials[[#This Row],[Net Income]]/tbl_financials[[#This Row],[Revenue]]</f>
        <v>0.26646709169808391</v>
      </c>
      <c r="K92" s="29">
        <f>tbl_financials[[#This Row],[EBITDA]]/tbl_financials[[#This Row],[Revenue]]</f>
        <v>0.48491541069595306</v>
      </c>
      <c r="L9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-1.7353560494168647E-3</v>
      </c>
      <c r="M92" s="35">
        <f>IFERROR((tbl_financials[[#This Row],[Net Income]]-INDEX(tbl_financials[Net Income],MATCH(tbl_financials[[#This Row],[PreviousKey]],tbl_financials[Key],0)))/INDEX(tbl_financials[Net Income],MATCH(tbl_financials[[#This Row],[PreviousKey]],tbl_financials[Key],0)),"")</f>
        <v>-0.18128081429253037</v>
      </c>
      <c r="N92" s="32" t="str">
        <f>tbl_financials[[#This Row],[Company ]]&amp;tbl_financials[[#This Row],[Year]]</f>
        <v>MCD2022</v>
      </c>
      <c r="O92" s="32" t="str">
        <f>tbl_financials[[#This Row],[Company ]]&amp;(tbl_financials[[#This Row],[Year]]-1)</f>
        <v>MCD2021</v>
      </c>
      <c r="P9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2" s="4"/>
    </row>
    <row r="93" spans="1:17" x14ac:dyDescent="0.3">
      <c r="A93" s="7">
        <v>2021</v>
      </c>
      <c r="B93" s="3" t="s">
        <v>35</v>
      </c>
      <c r="C93" s="3" t="s">
        <v>36</v>
      </c>
      <c r="D93" s="5">
        <v>23222.9</v>
      </c>
      <c r="E93" s="5">
        <v>7545.2</v>
      </c>
      <c r="F93" s="5">
        <v>12224.1</v>
      </c>
      <c r="G93" s="23">
        <f>VLOOKUP(tbl_financials[[#This Row],[Industry]],tbl_tax[[Industry]:[Tax Rate]],2,FALSE)</f>
        <v>0.24</v>
      </c>
      <c r="H93" s="5">
        <f>tbl_financials[[#This Row],[Net Income]]*tbl_financials[[#This Row],[Tax Rate]]</f>
        <v>1810.848</v>
      </c>
      <c r="I93" s="5">
        <f>tbl_financials[[#This Row],[Net Income]]-tbl_financials[[#This Row],[Tax Amount]]</f>
        <v>5734.3519999999999</v>
      </c>
      <c r="J93" s="29">
        <f>tbl_financials[[#This Row],[Net Income]]/tbl_financials[[#This Row],[Revenue]]</f>
        <v>0.32490343583273407</v>
      </c>
      <c r="K93" s="29">
        <f>tbl_financials[[#This Row],[EBITDA]]/tbl_financials[[#This Row],[Revenue]]</f>
        <v>0.52638128743610835</v>
      </c>
      <c r="L9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0.20903487125022138</v>
      </c>
      <c r="M93" s="35">
        <f>IFERROR((tbl_financials[[#This Row],[Net Income]]-INDEX(tbl_financials[Net Income],MATCH(tbl_financials[[#This Row],[PreviousKey]],tbl_financials[Key],0)))/INDEX(tbl_financials[Net Income],MATCH(tbl_financials[[#This Row],[PreviousKey]],tbl_financials[Key],0)),"")</f>
        <v>0.59501109819258002</v>
      </c>
      <c r="N93" s="32" t="str">
        <f>tbl_financials[[#This Row],[Company ]]&amp;tbl_financials[[#This Row],[Year]]</f>
        <v>MCD2021</v>
      </c>
      <c r="O93" s="32" t="str">
        <f>tbl_financials[[#This Row],[Company ]]&amp;(tbl_financials[[#This Row],[Year]]-1)</f>
        <v>MCD2020</v>
      </c>
      <c r="P9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3" s="4"/>
    </row>
    <row r="94" spans="1:17" x14ac:dyDescent="0.3">
      <c r="A94" s="7">
        <v>2020</v>
      </c>
      <c r="B94" s="3" t="s">
        <v>35</v>
      </c>
      <c r="C94" s="3" t="s">
        <v>36</v>
      </c>
      <c r="D94" s="5">
        <v>19207.8</v>
      </c>
      <c r="E94" s="5">
        <v>4730.5</v>
      </c>
      <c r="F94" s="5">
        <v>9075.4</v>
      </c>
      <c r="G94" s="23">
        <f>VLOOKUP(tbl_financials[[#This Row],[Industry]],tbl_tax[[Industry]:[Tax Rate]],2,FALSE)</f>
        <v>0.24</v>
      </c>
      <c r="H94" s="5">
        <f>tbl_financials[[#This Row],[Net Income]]*tbl_financials[[#This Row],[Tax Rate]]</f>
        <v>1135.32</v>
      </c>
      <c r="I94" s="5">
        <f>tbl_financials[[#This Row],[Net Income]]-tbl_financials[[#This Row],[Tax Amount]]</f>
        <v>3595.1800000000003</v>
      </c>
      <c r="J94" s="29">
        <f>tbl_financials[[#This Row],[Net Income]]/tbl_financials[[#This Row],[Revenue]]</f>
        <v>0.24628015701954414</v>
      </c>
      <c r="K94" s="29">
        <f>tbl_financials[[#This Row],[EBITDA]]/tbl_financials[[#This Row],[Revenue]]</f>
        <v>0.47248513624673311</v>
      </c>
      <c r="L9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-0.10094362584486351</v>
      </c>
      <c r="M94" s="35">
        <f>IFERROR((tbl_financials[[#This Row],[Net Income]]-INDEX(tbl_financials[Net Income],MATCH(tbl_financials[[#This Row],[PreviousKey]],tbl_financials[Key],0)))/INDEX(tbl_financials[Net Income],MATCH(tbl_financials[[#This Row],[PreviousKey]],tbl_financials[Key],0)),"")</f>
        <v>-0.21490689414810629</v>
      </c>
      <c r="N94" s="32" t="str">
        <f>tbl_financials[[#This Row],[Company ]]&amp;tbl_financials[[#This Row],[Year]]</f>
        <v>MCD2020</v>
      </c>
      <c r="O94" s="32" t="str">
        <f>tbl_financials[[#This Row],[Company ]]&amp;(tbl_financials[[#This Row],[Year]]-1)</f>
        <v>MCD2019</v>
      </c>
      <c r="P9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4" s="4"/>
    </row>
    <row r="95" spans="1:17" x14ac:dyDescent="0.3">
      <c r="A95" s="7">
        <v>2019</v>
      </c>
      <c r="B95" s="3" t="s">
        <v>35</v>
      </c>
      <c r="C95" s="3" t="s">
        <v>36</v>
      </c>
      <c r="D95" s="5">
        <v>21364.400000000001</v>
      </c>
      <c r="E95" s="5">
        <v>6025.4</v>
      </c>
      <c r="F95" s="5">
        <v>10687.7</v>
      </c>
      <c r="G95" s="23">
        <f>VLOOKUP(tbl_financials[[#This Row],[Industry]],tbl_tax[[Industry]:[Tax Rate]],2,FALSE)</f>
        <v>0.24</v>
      </c>
      <c r="H95" s="5">
        <f>tbl_financials[[#This Row],[Net Income]]*tbl_financials[[#This Row],[Tax Rate]]</f>
        <v>1446.0959999999998</v>
      </c>
      <c r="I95" s="5">
        <f>tbl_financials[[#This Row],[Net Income]]-tbl_financials[[#This Row],[Tax Amount]]</f>
        <v>4579.3040000000001</v>
      </c>
      <c r="J95" s="29">
        <f>tbl_financials[[#This Row],[Net Income]]/tbl_financials[[#This Row],[Revenue]]</f>
        <v>0.28202991893055734</v>
      </c>
      <c r="K95" s="29">
        <f>tbl_financials[[#This Row],[EBITDA]]/tbl_financials[[#This Row],[Revenue]]</f>
        <v>0.50025743760648556</v>
      </c>
      <c r="L9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5.0099022010640743E-3</v>
      </c>
      <c r="M95" s="35">
        <f>IFERROR((tbl_financials[[#This Row],[Net Income]]-INDEX(tbl_financials[Net Income],MATCH(tbl_financials[[#This Row],[PreviousKey]],tbl_financials[Key],0)))/INDEX(tbl_financials[Net Income],MATCH(tbl_financials[[#This Row],[PreviousKey]],tbl_financials[Key],0)),"")</f>
        <v>1.7065307293688613E-2</v>
      </c>
      <c r="N95" s="32" t="str">
        <f>tbl_financials[[#This Row],[Company ]]&amp;tbl_financials[[#This Row],[Year]]</f>
        <v>MCD2019</v>
      </c>
      <c r="O95" s="32" t="str">
        <f>tbl_financials[[#This Row],[Company ]]&amp;(tbl_financials[[#This Row],[Year]]-1)</f>
        <v>MCD2018</v>
      </c>
      <c r="P95"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5" s="4"/>
    </row>
    <row r="96" spans="1:17" x14ac:dyDescent="0.3">
      <c r="A96" s="7">
        <v>2018</v>
      </c>
      <c r="B96" s="3" t="s">
        <v>35</v>
      </c>
      <c r="C96" s="3" t="s">
        <v>36</v>
      </c>
      <c r="D96" s="5">
        <v>21257.9</v>
      </c>
      <c r="E96" s="5">
        <v>5924.3</v>
      </c>
      <c r="F96" s="5">
        <v>10304.6</v>
      </c>
      <c r="G96" s="23">
        <f>VLOOKUP(tbl_financials[[#This Row],[Industry]],tbl_tax[[Industry]:[Tax Rate]],2,FALSE)</f>
        <v>0.24</v>
      </c>
      <c r="H96" s="5">
        <f>tbl_financials[[#This Row],[Net Income]]*tbl_financials[[#This Row],[Tax Rate]]</f>
        <v>1421.8319999999999</v>
      </c>
      <c r="I96" s="5">
        <f>tbl_financials[[#This Row],[Net Income]]-tbl_financials[[#This Row],[Tax Amount]]</f>
        <v>4502.4680000000008</v>
      </c>
      <c r="J96" s="29">
        <f>tbl_financials[[#This Row],[Net Income]]/tbl_financials[[#This Row],[Revenue]]</f>
        <v>0.27868698225130423</v>
      </c>
      <c r="K96" s="29">
        <f>tbl_financials[[#This Row],[EBITDA]]/tbl_financials[[#This Row],[Revenue]]</f>
        <v>0.48474214292098466</v>
      </c>
      <c r="L9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-6.8469439624195896E-2</v>
      </c>
      <c r="M96" s="35">
        <f>IFERROR((tbl_financials[[#This Row],[Net Income]]-INDEX(tbl_financials[Net Income],MATCH(tbl_financials[[#This Row],[PreviousKey]],tbl_financials[Key],0)))/INDEX(tbl_financials[Net Income],MATCH(tbl_financials[[#This Row],[PreviousKey]],tbl_financials[Key],0)),"")</f>
        <v>0.14097798663405428</v>
      </c>
      <c r="N96" s="32" t="str">
        <f>tbl_financials[[#This Row],[Company ]]&amp;tbl_financials[[#This Row],[Year]]</f>
        <v>MCD2018</v>
      </c>
      <c r="O96" s="32" t="str">
        <f>tbl_financials[[#This Row],[Company ]]&amp;(tbl_financials[[#This Row],[Year]]-1)</f>
        <v>MCD2017</v>
      </c>
      <c r="P9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6" s="4"/>
    </row>
    <row r="97" spans="1:17" x14ac:dyDescent="0.3">
      <c r="A97" s="7">
        <v>2017</v>
      </c>
      <c r="B97" s="3" t="s">
        <v>35</v>
      </c>
      <c r="C97" s="3" t="s">
        <v>36</v>
      </c>
      <c r="D97" s="5">
        <v>22820.400000000001</v>
      </c>
      <c r="E97" s="5">
        <v>5192.3</v>
      </c>
      <c r="F97" s="5">
        <v>10916.1</v>
      </c>
      <c r="G97" s="23">
        <f>VLOOKUP(tbl_financials[[#This Row],[Industry]],tbl_tax[[Industry]:[Tax Rate]],2,FALSE)</f>
        <v>0.24</v>
      </c>
      <c r="H97" s="5">
        <f>tbl_financials[[#This Row],[Net Income]]*tbl_financials[[#This Row],[Tax Rate]]</f>
        <v>1246.152</v>
      </c>
      <c r="I97" s="5">
        <f>tbl_financials[[#This Row],[Net Income]]-tbl_financials[[#This Row],[Tax Amount]]</f>
        <v>3946.1480000000001</v>
      </c>
      <c r="J97" s="29">
        <f>tbl_financials[[#This Row],[Net Income]]/tbl_financials[[#This Row],[Revenue]]</f>
        <v>0.22752887767085589</v>
      </c>
      <c r="K97" s="29">
        <f>tbl_financials[[#This Row],[EBITDA]]/tbl_financials[[#This Row],[Revenue]]</f>
        <v>0.47834831992427829</v>
      </c>
      <c r="L9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-7.3166571223179364E-2</v>
      </c>
      <c r="M97" s="35">
        <f>IFERROR((tbl_financials[[#This Row],[Net Income]]-INDEX(tbl_financials[Net Income],MATCH(tbl_financials[[#This Row],[PreviousKey]],tbl_financials[Key],0)))/INDEX(tbl_financials[Net Income],MATCH(tbl_financials[[#This Row],[PreviousKey]],tbl_financials[Key],0)),"")</f>
        <v>0.10792702443187883</v>
      </c>
      <c r="N97" s="32" t="str">
        <f>tbl_financials[[#This Row],[Company ]]&amp;tbl_financials[[#This Row],[Year]]</f>
        <v>MCD2017</v>
      </c>
      <c r="O97" s="32" t="str">
        <f>tbl_financials[[#This Row],[Company ]]&amp;(tbl_financials[[#This Row],[Year]]-1)</f>
        <v>MCD2016</v>
      </c>
      <c r="P9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7" s="4"/>
    </row>
    <row r="98" spans="1:17" x14ac:dyDescent="0.3">
      <c r="A98" s="7">
        <v>2016</v>
      </c>
      <c r="B98" s="3" t="s">
        <v>35</v>
      </c>
      <c r="C98" s="3" t="s">
        <v>36</v>
      </c>
      <c r="D98" s="5">
        <v>24621.9</v>
      </c>
      <c r="E98" s="5">
        <v>4686.5</v>
      </c>
      <c r="F98" s="5">
        <v>9261.0020000000004</v>
      </c>
      <c r="G98" s="23">
        <f>VLOOKUP(tbl_financials[[#This Row],[Industry]],tbl_tax[[Industry]:[Tax Rate]],2,FALSE)</f>
        <v>0.24</v>
      </c>
      <c r="H98" s="5">
        <f>tbl_financials[[#This Row],[Net Income]]*tbl_financials[[#This Row],[Tax Rate]]</f>
        <v>1124.76</v>
      </c>
      <c r="I98" s="5">
        <f>tbl_financials[[#This Row],[Net Income]]-tbl_financials[[#This Row],[Tax Amount]]</f>
        <v>3561.74</v>
      </c>
      <c r="J98" s="29">
        <f>tbl_financials[[#This Row],[Net Income]]/tbl_financials[[#This Row],[Revenue]]</f>
        <v>0.19033868223004721</v>
      </c>
      <c r="K98" s="29">
        <f>tbl_financials[[#This Row],[EBITDA]]/tbl_financials[[#This Row],[Revenue]]</f>
        <v>0.37612864969803306</v>
      </c>
      <c r="L9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-3.1129736748907982E-2</v>
      </c>
      <c r="M98" s="35">
        <f>IFERROR((tbl_financials[[#This Row],[Net Income]]-INDEX(tbl_financials[Net Income],MATCH(tbl_financials[[#This Row],[PreviousKey]],tbl_financials[Key],0)))/INDEX(tbl_financials[Net Income],MATCH(tbl_financials[[#This Row],[PreviousKey]],tbl_financials[Key],0)),"")</f>
        <v>3.4707349921621403E-2</v>
      </c>
      <c r="N98" s="32" t="str">
        <f>tbl_financials[[#This Row],[Company ]]&amp;tbl_financials[[#This Row],[Year]]</f>
        <v>MCD2016</v>
      </c>
      <c r="O98" s="32" t="str">
        <f>tbl_financials[[#This Row],[Company ]]&amp;(tbl_financials[[#This Row],[Year]]-1)</f>
        <v>MCD2015</v>
      </c>
      <c r="P9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8" s="4"/>
    </row>
    <row r="99" spans="1:17" x14ac:dyDescent="0.3">
      <c r="A99" s="7">
        <v>2015</v>
      </c>
      <c r="B99" s="3" t="s">
        <v>35</v>
      </c>
      <c r="C99" s="3" t="s">
        <v>36</v>
      </c>
      <c r="D99" s="5">
        <v>25413</v>
      </c>
      <c r="E99" s="5">
        <v>4529.3</v>
      </c>
      <c r="F99" s="5">
        <v>8701.2000000000007</v>
      </c>
      <c r="G99" s="23">
        <f>VLOOKUP(tbl_financials[[#This Row],[Industry]],tbl_tax[[Industry]:[Tax Rate]],2,FALSE)</f>
        <v>0.24</v>
      </c>
      <c r="H99" s="5">
        <f>tbl_financials[[#This Row],[Net Income]]*tbl_financials[[#This Row],[Tax Rate]]</f>
        <v>1087.0319999999999</v>
      </c>
      <c r="I99" s="5">
        <f>tbl_financials[[#This Row],[Net Income]]-tbl_financials[[#This Row],[Tax Amount]]</f>
        <v>3442.268</v>
      </c>
      <c r="J99" s="29">
        <f>tbl_financials[[#This Row],[Net Income]]/tbl_financials[[#This Row],[Revenue]]</f>
        <v>0.17822767874709794</v>
      </c>
      <c r="K99" s="29">
        <f>tbl_financials[[#This Row],[EBITDA]]/tbl_financials[[#This Row],[Revenue]]</f>
        <v>0.34239168929288161</v>
      </c>
      <c r="L9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-7.391413672092792E-2</v>
      </c>
      <c r="M99" s="35">
        <f>IFERROR((tbl_financials[[#This Row],[Net Income]]-INDEX(tbl_financials[Net Income],MATCH(tbl_financials[[#This Row],[PreviousKey]],tbl_financials[Key],0)))/INDEX(tbl_financials[Net Income],MATCH(tbl_financials[[#This Row],[PreviousKey]],tbl_financials[Key],0)),"")</f>
        <v>-4.8026398755727437E-2</v>
      </c>
      <c r="N99" s="32" t="str">
        <f>tbl_financials[[#This Row],[Company ]]&amp;tbl_financials[[#This Row],[Year]]</f>
        <v>MCD2015</v>
      </c>
      <c r="O99" s="32" t="str">
        <f>tbl_financials[[#This Row],[Company ]]&amp;(tbl_financials[[#This Row],[Year]]-1)</f>
        <v>MCD2014</v>
      </c>
      <c r="P9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99" s="4"/>
    </row>
    <row r="100" spans="1:17" x14ac:dyDescent="0.3">
      <c r="A100" s="7">
        <v>2014</v>
      </c>
      <c r="B100" s="3" t="s">
        <v>35</v>
      </c>
      <c r="C100" s="3" t="s">
        <v>36</v>
      </c>
      <c r="D100" s="5">
        <v>27441.3</v>
      </c>
      <c r="E100" s="5">
        <v>4757.8</v>
      </c>
      <c r="F100" s="5">
        <v>9593.7009999999991</v>
      </c>
      <c r="G100" s="23">
        <f>VLOOKUP(tbl_financials[[#This Row],[Industry]],tbl_tax[[Industry]:[Tax Rate]],2,FALSE)</f>
        <v>0.24</v>
      </c>
      <c r="H100" s="5">
        <f>tbl_financials[[#This Row],[Net Income]]*tbl_financials[[#This Row],[Tax Rate]]</f>
        <v>1141.8720000000001</v>
      </c>
      <c r="I100" s="5">
        <f>tbl_financials[[#This Row],[Net Income]]-tbl_financials[[#This Row],[Tax Amount]]</f>
        <v>3615.9279999999999</v>
      </c>
      <c r="J100" s="29">
        <f>tbl_financials[[#This Row],[Net Income]]/tbl_financials[[#This Row],[Revenue]]</f>
        <v>0.17338099871361781</v>
      </c>
      <c r="K100" s="29">
        <f>tbl_financials[[#This Row],[EBITDA]]/tbl_financials[[#This Row],[Revenue]]</f>
        <v>0.34960810894527589</v>
      </c>
      <c r="L10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-2.3639332946697695E-2</v>
      </c>
      <c r="M100" s="35">
        <f>IFERROR((tbl_financials[[#This Row],[Net Income]]-INDEX(tbl_financials[Net Income],MATCH(tbl_financials[[#This Row],[PreviousKey]],tbl_financials[Key],0)))/INDEX(tbl_financials[Net Income],MATCH(tbl_financials[[#This Row],[PreviousKey]],tbl_financials[Key],0)),"")</f>
        <v>-0.14824826796040019</v>
      </c>
      <c r="N100" s="32" t="str">
        <f>tbl_financials[[#This Row],[Company ]]&amp;tbl_financials[[#This Row],[Year]]</f>
        <v>MCD2014</v>
      </c>
      <c r="O100" s="32" t="str">
        <f>tbl_financials[[#This Row],[Company ]]&amp;(tbl_financials[[#This Row],[Year]]-1)</f>
        <v>MCD2013</v>
      </c>
      <c r="P10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00" s="4"/>
    </row>
    <row r="101" spans="1:17" x14ac:dyDescent="0.3">
      <c r="A101" s="7">
        <v>2013</v>
      </c>
      <c r="B101" s="3" t="s">
        <v>35</v>
      </c>
      <c r="C101" s="3" t="s">
        <v>36</v>
      </c>
      <c r="D101" s="5">
        <v>28105.7</v>
      </c>
      <c r="E101" s="5">
        <v>5585.9</v>
      </c>
      <c r="F101" s="5">
        <v>10349.4</v>
      </c>
      <c r="G101" s="23">
        <f>VLOOKUP(tbl_financials[[#This Row],[Industry]],tbl_tax[[Industry]:[Tax Rate]],2,FALSE)</f>
        <v>0.24</v>
      </c>
      <c r="H101" s="5">
        <f>tbl_financials[[#This Row],[Net Income]]*tbl_financials[[#This Row],[Tax Rate]]</f>
        <v>1340.6159999999998</v>
      </c>
      <c r="I101" s="5">
        <f>tbl_financials[[#This Row],[Net Income]]-tbl_financials[[#This Row],[Tax Amount]]</f>
        <v>4245.2839999999997</v>
      </c>
      <c r="J101" s="29">
        <f>tbl_financials[[#This Row],[Net Income]]/tbl_financials[[#This Row],[Revenue]]</f>
        <v>0.19874616181059357</v>
      </c>
      <c r="K101" s="29">
        <f>tbl_financials[[#This Row],[EBITDA]]/tbl_financials[[#This Row],[Revenue]]</f>
        <v>0.36823135520552769</v>
      </c>
      <c r="L10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1.9541480755976375E-2</v>
      </c>
      <c r="M101" s="35">
        <f>IFERROR((tbl_financials[[#This Row],[Net Income]]-INDEX(tbl_financials[Net Income],MATCH(tbl_financials[[#This Row],[PreviousKey]],tbl_financials[Key],0)))/INDEX(tbl_financials[Net Income],MATCH(tbl_financials[[#This Row],[PreviousKey]],tbl_financials[Key],0)),"")</f>
        <v>2.216000585565793E-2</v>
      </c>
      <c r="N101" s="32" t="str">
        <f>tbl_financials[[#This Row],[Company ]]&amp;tbl_financials[[#This Row],[Year]]</f>
        <v>MCD2013</v>
      </c>
      <c r="O101" s="32" t="str">
        <f>tbl_financials[[#This Row],[Company ]]&amp;(tbl_financials[[#This Row],[Year]]-1)</f>
        <v>MCD2012</v>
      </c>
      <c r="P10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01" s="4"/>
    </row>
    <row r="102" spans="1:17" x14ac:dyDescent="0.3">
      <c r="A102" s="7">
        <v>2012</v>
      </c>
      <c r="B102" s="3" t="s">
        <v>35</v>
      </c>
      <c r="C102" s="3" t="s">
        <v>36</v>
      </c>
      <c r="D102" s="5">
        <v>27567</v>
      </c>
      <c r="E102" s="5">
        <v>5464.8</v>
      </c>
      <c r="F102" s="5">
        <v>10093.1</v>
      </c>
      <c r="G102" s="23">
        <f>VLOOKUP(tbl_financials[[#This Row],[Industry]],tbl_tax[[Industry]:[Tax Rate]],2,FALSE)</f>
        <v>0.24</v>
      </c>
      <c r="H102" s="5">
        <f>tbl_financials[[#This Row],[Net Income]]*tbl_financials[[#This Row],[Tax Rate]]</f>
        <v>1311.5519999999999</v>
      </c>
      <c r="I102" s="5">
        <f>tbl_financials[[#This Row],[Net Income]]-tbl_financials[[#This Row],[Tax Amount]]</f>
        <v>4153.2480000000005</v>
      </c>
      <c r="J102" s="29">
        <f>tbl_financials[[#This Row],[Net Income]]/tbl_financials[[#This Row],[Revenue]]</f>
        <v>0.1982370225269344</v>
      </c>
      <c r="K102" s="29">
        <f>tbl_financials[[#This Row],[EBITDA]]/tbl_financials[[#This Row],[Revenue]]</f>
        <v>0.36612979286828456</v>
      </c>
      <c r="L10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2.0773161519662298E-2</v>
      </c>
      <c r="M102" s="35">
        <f>IFERROR((tbl_financials[[#This Row],[Net Income]]-INDEX(tbl_financials[Net Income],MATCH(tbl_financials[[#This Row],[PreviousKey]],tbl_financials[Key],0)))/INDEX(tbl_financials[Net Income],MATCH(tbl_financials[[#This Row],[PreviousKey]],tbl_financials[Key],0)),"")</f>
        <v>-6.9597136159619448E-3</v>
      </c>
      <c r="N102" s="32" t="str">
        <f>tbl_financials[[#This Row],[Company ]]&amp;tbl_financials[[#This Row],[Year]]</f>
        <v>MCD2012</v>
      </c>
      <c r="O102" s="32" t="str">
        <f>tbl_financials[[#This Row],[Company ]]&amp;(tbl_financials[[#This Row],[Year]]-1)</f>
        <v>MCD2011</v>
      </c>
      <c r="P10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02" s="4"/>
    </row>
    <row r="103" spans="1:17" x14ac:dyDescent="0.3">
      <c r="A103" s="7">
        <v>2011</v>
      </c>
      <c r="B103" s="3" t="s">
        <v>35</v>
      </c>
      <c r="C103" s="3" t="s">
        <v>36</v>
      </c>
      <c r="D103" s="5">
        <v>27006</v>
      </c>
      <c r="E103" s="5">
        <v>5503.1</v>
      </c>
      <c r="F103" s="5">
        <v>9944.7009999999991</v>
      </c>
      <c r="G103" s="23">
        <f>VLOOKUP(tbl_financials[[#This Row],[Industry]],tbl_tax[[Industry]:[Tax Rate]],2,FALSE)</f>
        <v>0.24</v>
      </c>
      <c r="H103" s="5">
        <f>tbl_financials[[#This Row],[Net Income]]*tbl_financials[[#This Row],[Tax Rate]]</f>
        <v>1320.7440000000001</v>
      </c>
      <c r="I103" s="5">
        <f>tbl_financials[[#This Row],[Net Income]]-tbl_financials[[#This Row],[Tax Amount]]</f>
        <v>4182.3559999999998</v>
      </c>
      <c r="J103" s="29">
        <f>tbl_financials[[#This Row],[Net Income]]/tbl_financials[[#This Row],[Revenue]]</f>
        <v>0.20377323557727914</v>
      </c>
      <c r="K103" s="29">
        <f>tbl_financials[[#This Row],[EBITDA]]/tbl_financials[[#This Row],[Revenue]]</f>
        <v>0.3682404280530252</v>
      </c>
      <c r="L10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0.12176318609654996</v>
      </c>
      <c r="M103" s="35">
        <f>IFERROR((tbl_financials[[#This Row],[Net Income]]-INDEX(tbl_financials[Net Income],MATCH(tbl_financials[[#This Row],[PreviousKey]],tbl_financials[Key],0)))/INDEX(tbl_financials[Net Income],MATCH(tbl_financials[[#This Row],[PreviousKey]],tbl_financials[Key],0)),"")</f>
        <v>0.11256899096294203</v>
      </c>
      <c r="N103" s="32" t="str">
        <f>tbl_financials[[#This Row],[Company ]]&amp;tbl_financials[[#This Row],[Year]]</f>
        <v>MCD2011</v>
      </c>
      <c r="O103" s="32" t="str">
        <f>tbl_financials[[#This Row],[Company ]]&amp;(tbl_financials[[#This Row],[Year]]-1)</f>
        <v>MCD2010</v>
      </c>
      <c r="P10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03" s="4"/>
    </row>
    <row r="104" spans="1:17" x14ac:dyDescent="0.3">
      <c r="A104" s="7">
        <v>2010</v>
      </c>
      <c r="B104" s="3" t="s">
        <v>35</v>
      </c>
      <c r="C104" s="3" t="s">
        <v>36</v>
      </c>
      <c r="D104" s="5">
        <v>24074.6</v>
      </c>
      <c r="E104" s="5">
        <v>4946.3</v>
      </c>
      <c r="F104" s="5">
        <v>8749.2999999999993</v>
      </c>
      <c r="G104" s="23">
        <f>VLOOKUP(tbl_financials[[#This Row],[Industry]],tbl_tax[[Industry]:[Tax Rate]],2,FALSE)</f>
        <v>0.24</v>
      </c>
      <c r="H104" s="5">
        <f>tbl_financials[[#This Row],[Net Income]]*tbl_financials[[#This Row],[Tax Rate]]</f>
        <v>1187.1120000000001</v>
      </c>
      <c r="I104" s="5">
        <f>tbl_financials[[#This Row],[Net Income]]-tbl_financials[[#This Row],[Tax Amount]]</f>
        <v>3759.1880000000001</v>
      </c>
      <c r="J104" s="29">
        <f>tbl_financials[[#This Row],[Net Income]]/tbl_financials[[#This Row],[Revenue]]</f>
        <v>0.20545720385800806</v>
      </c>
      <c r="K104" s="29">
        <f>tbl_financials[[#This Row],[EBITDA]]/tbl_financials[[#This Row],[Revenue]]</f>
        <v>0.36342452211044002</v>
      </c>
      <c r="L10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5.8470764617691059E-2</v>
      </c>
      <c r="M104" s="35">
        <f>IFERROR((tbl_financials[[#This Row],[Net Income]]-INDEX(tbl_financials[Net Income],MATCH(tbl_financials[[#This Row],[PreviousKey]],tbl_financials[Key],0)))/INDEX(tbl_financials[Net Income],MATCH(tbl_financials[[#This Row],[PreviousKey]],tbl_financials[Key],0)),"")</f>
        <v>8.6860030762469828E-2</v>
      </c>
      <c r="N104" s="32" t="str">
        <f>tbl_financials[[#This Row],[Company ]]&amp;tbl_financials[[#This Row],[Year]]</f>
        <v>MCD2010</v>
      </c>
      <c r="O104" s="32" t="str">
        <f>tbl_financials[[#This Row],[Company ]]&amp;(tbl_financials[[#This Row],[Year]]-1)</f>
        <v>MCD2009</v>
      </c>
      <c r="P10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04" s="4"/>
    </row>
    <row r="105" spans="1:17" x14ac:dyDescent="0.3">
      <c r="A105" s="7">
        <v>2009</v>
      </c>
      <c r="B105" s="3" t="s">
        <v>35</v>
      </c>
      <c r="C105" s="3" t="s">
        <v>36</v>
      </c>
      <c r="D105" s="5">
        <v>22744.7</v>
      </c>
      <c r="E105" s="5">
        <v>4551</v>
      </c>
      <c r="F105" s="5">
        <v>8057.2</v>
      </c>
      <c r="G105" s="23">
        <f>VLOOKUP(tbl_financials[[#This Row],[Industry]],tbl_tax[[Industry]:[Tax Rate]],2,FALSE)</f>
        <v>0.24</v>
      </c>
      <c r="H105" s="5">
        <f>tbl_financials[[#This Row],[Net Income]]*tbl_financials[[#This Row],[Tax Rate]]</f>
        <v>1092.24</v>
      </c>
      <c r="I105" s="5">
        <f>tbl_financials[[#This Row],[Net Income]]-tbl_financials[[#This Row],[Tax Amount]]</f>
        <v>3458.76</v>
      </c>
      <c r="J105" s="29">
        <f>tbl_financials[[#This Row],[Net Income]]/tbl_financials[[#This Row],[Revenue]]</f>
        <v>0.20009057055050186</v>
      </c>
      <c r="K105" s="29">
        <f>tbl_financials[[#This Row],[EBITDA]]/tbl_financials[[#This Row],[Revenue]]</f>
        <v>0.35424516480762547</v>
      </c>
      <c r="L105"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105" s="35" t="str">
        <f>IFERROR((tbl_financials[[#This Row],[Net Income]]-INDEX(tbl_financials[Net Income],MATCH(tbl_financials[[#This Row],[PreviousKey]],tbl_financials[Key],0)))/INDEX(tbl_financials[Net Income],MATCH(tbl_financials[[#This Row],[PreviousKey]],tbl_financials[Key],0)),"")</f>
        <v/>
      </c>
      <c r="N105" s="32" t="str">
        <f>tbl_financials[[#This Row],[Company ]]&amp;tbl_financials[[#This Row],[Year]]</f>
        <v>MCD2009</v>
      </c>
      <c r="O105" s="32" t="str">
        <f>tbl_financials[[#This Row],[Company ]]&amp;(tbl_financials[[#This Row],[Year]]-1)</f>
        <v>MCD2008</v>
      </c>
      <c r="P105"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105" s="4"/>
    </row>
    <row r="106" spans="1:17" x14ac:dyDescent="0.3">
      <c r="A106" s="7">
        <v>2022</v>
      </c>
      <c r="B106" s="3" t="s">
        <v>37</v>
      </c>
      <c r="C106" s="3" t="s">
        <v>38</v>
      </c>
      <c r="D106" s="5">
        <v>30868.080000000002</v>
      </c>
      <c r="E106" s="5">
        <v>6212.9489999999996</v>
      </c>
      <c r="F106" s="5">
        <v>1</v>
      </c>
      <c r="G106" s="23">
        <f>VLOOKUP(tbl_financials[[#This Row],[Industry]],tbl_tax[[Industry]:[Tax Rate]],2,FALSE)</f>
        <v>0.3</v>
      </c>
      <c r="H106" s="5">
        <f>tbl_financials[[#This Row],[Net Income]]*tbl_financials[[#This Row],[Tax Rate]]</f>
        <v>1863.8846999999998</v>
      </c>
      <c r="I106" s="5">
        <f>tbl_financials[[#This Row],[Net Income]]-tbl_financials[[#This Row],[Tax Amount]]</f>
        <v>4349.0643</v>
      </c>
      <c r="J106" s="29">
        <f>tbl_financials[[#This Row],[Net Income]]/tbl_financials[[#This Row],[Revenue]]</f>
        <v>0.20127422891219665</v>
      </c>
      <c r="K106" s="29">
        <f>tbl_financials[[#This Row],[EBITDA]]/tbl_financials[[#This Row],[Revenue]]</f>
        <v>3.239592485182104E-5</v>
      </c>
      <c r="L10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2.3148729735042128E-2</v>
      </c>
      <c r="M106" s="35">
        <f>IFERROR((tbl_financials[[#This Row],[Net Income]]-INDEX(tbl_financials[Net Income],MATCH(tbl_financials[[#This Row],[PreviousKey]],tbl_financials[Key],0)))/INDEX(tbl_financials[Net Income],MATCH(tbl_financials[[#This Row],[PreviousKey]],tbl_financials[Key],0)),"")</f>
        <v>-0.29126595905233515</v>
      </c>
      <c r="N106" s="32" t="str">
        <f>tbl_financials[[#This Row],[Company ]]&amp;tbl_financials[[#This Row],[Year]]</f>
        <v>BCS2022</v>
      </c>
      <c r="O106" s="32" t="str">
        <f>tbl_financials[[#This Row],[Company ]]&amp;(tbl_financials[[#This Row],[Year]]-1)</f>
        <v>BCS2021</v>
      </c>
      <c r="P10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06" s="4"/>
    </row>
    <row r="107" spans="1:17" x14ac:dyDescent="0.3">
      <c r="A107" s="7">
        <v>2021</v>
      </c>
      <c r="B107" s="3" t="s">
        <v>37</v>
      </c>
      <c r="C107" s="3" t="s">
        <v>38</v>
      </c>
      <c r="D107" s="5">
        <v>30169.69</v>
      </c>
      <c r="E107" s="5">
        <v>8766.2630000000008</v>
      </c>
      <c r="F107" s="5">
        <v>1</v>
      </c>
      <c r="G107" s="23">
        <f>VLOOKUP(tbl_financials[[#This Row],[Industry]],tbl_tax[[Industry]:[Tax Rate]],2,FALSE)</f>
        <v>0.3</v>
      </c>
      <c r="H107" s="5">
        <f>tbl_financials[[#This Row],[Net Income]]*tbl_financials[[#This Row],[Tax Rate]]</f>
        <v>2629.8789000000002</v>
      </c>
      <c r="I107" s="5">
        <f>tbl_financials[[#This Row],[Net Income]]-tbl_financials[[#This Row],[Tax Amount]]</f>
        <v>6136.3841000000011</v>
      </c>
      <c r="J107" s="29">
        <f>tbl_financials[[#This Row],[Net Income]]/tbl_financials[[#This Row],[Revenue]]</f>
        <v>0.2905652328545637</v>
      </c>
      <c r="K107" s="29">
        <f>tbl_financials[[#This Row],[EBITDA]]/tbl_financials[[#This Row],[Revenue]]</f>
        <v>3.314584936073258E-5</v>
      </c>
      <c r="L10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7.9511470419221075E-2</v>
      </c>
      <c r="M107" s="35">
        <f>IFERROR((tbl_financials[[#This Row],[Net Income]]-INDEX(tbl_financials[Net Income],MATCH(tbl_financials[[#This Row],[PreviousKey]],tbl_financials[Key],0)))/INDEX(tbl_financials[Net Income],MATCH(tbl_financials[[#This Row],[PreviousKey]],tbl_financials[Key],0)),"")</f>
        <v>3.4739892741800489</v>
      </c>
      <c r="N107" s="32" t="str">
        <f>tbl_financials[[#This Row],[Company ]]&amp;tbl_financials[[#This Row],[Year]]</f>
        <v>BCS2021</v>
      </c>
      <c r="O107" s="32" t="str">
        <f>tbl_financials[[#This Row],[Company ]]&amp;(tbl_financials[[#This Row],[Year]]-1)</f>
        <v>BCS2020</v>
      </c>
      <c r="P107"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07" s="4"/>
    </row>
    <row r="108" spans="1:17" x14ac:dyDescent="0.3">
      <c r="A108" s="7">
        <v>2020</v>
      </c>
      <c r="B108" s="3" t="s">
        <v>37</v>
      </c>
      <c r="C108" s="3" t="s">
        <v>38</v>
      </c>
      <c r="D108" s="5">
        <v>27947.54</v>
      </c>
      <c r="E108" s="5">
        <v>1959.384</v>
      </c>
      <c r="F108" s="5">
        <v>1</v>
      </c>
      <c r="G108" s="23">
        <f>VLOOKUP(tbl_financials[[#This Row],[Industry]],tbl_tax[[Industry]:[Tax Rate]],2,FALSE)</f>
        <v>0.3</v>
      </c>
      <c r="H108" s="5">
        <f>tbl_financials[[#This Row],[Net Income]]*tbl_financials[[#This Row],[Tax Rate]]</f>
        <v>587.8152</v>
      </c>
      <c r="I108" s="5">
        <f>tbl_financials[[#This Row],[Net Income]]-tbl_financials[[#This Row],[Tax Amount]]</f>
        <v>1371.5688</v>
      </c>
      <c r="J108" s="29">
        <f>tbl_financials[[#This Row],[Net Income]]/tbl_financials[[#This Row],[Revenue]]</f>
        <v>7.0109354884186584E-2</v>
      </c>
      <c r="K108" s="29">
        <f>tbl_financials[[#This Row],[EBITDA]]/tbl_financials[[#This Row],[Revenue]]</f>
        <v>3.5781324581698421E-5</v>
      </c>
      <c r="L10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1.1789196253697226E-2</v>
      </c>
      <c r="M108" s="35">
        <f>IFERROR((tbl_financials[[#This Row],[Net Income]]-INDEX(tbl_financials[Net Income],MATCH(tbl_financials[[#This Row],[PreviousKey]],tbl_financials[Key],0)))/INDEX(tbl_financials[Net Income],MATCH(tbl_financials[[#This Row],[PreviousKey]],tbl_financials[Key],0)),"")</f>
        <v>-0.53131187103388511</v>
      </c>
      <c r="N108" s="32" t="str">
        <f>tbl_financials[[#This Row],[Company ]]&amp;tbl_financials[[#This Row],[Year]]</f>
        <v>BCS2020</v>
      </c>
      <c r="O108" s="32" t="str">
        <f>tbl_financials[[#This Row],[Company ]]&amp;(tbl_financials[[#This Row],[Year]]-1)</f>
        <v>BCS2019</v>
      </c>
      <c r="P10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08" s="4"/>
    </row>
    <row r="109" spans="1:17" x14ac:dyDescent="0.3">
      <c r="A109" s="7">
        <v>2019</v>
      </c>
      <c r="B109" s="3" t="s">
        <v>37</v>
      </c>
      <c r="C109" s="3" t="s">
        <v>38</v>
      </c>
      <c r="D109" s="5">
        <v>27621.9</v>
      </c>
      <c r="E109" s="5">
        <v>4180.5709999999999</v>
      </c>
      <c r="F109" s="5">
        <v>1</v>
      </c>
      <c r="G109" s="23">
        <f>VLOOKUP(tbl_financials[[#This Row],[Industry]],tbl_tax[[Industry]:[Tax Rate]],2,FALSE)</f>
        <v>0.3</v>
      </c>
      <c r="H109" s="5">
        <f>tbl_financials[[#This Row],[Net Income]]*tbl_financials[[#This Row],[Tax Rate]]</f>
        <v>1254.1713</v>
      </c>
      <c r="I109" s="5">
        <f>tbl_financials[[#This Row],[Net Income]]-tbl_financials[[#This Row],[Tax Amount]]</f>
        <v>2926.3996999999999</v>
      </c>
      <c r="J109" s="29">
        <f>tbl_financials[[#This Row],[Net Income]]/tbl_financials[[#This Row],[Revenue]]</f>
        <v>0.15134987093574301</v>
      </c>
      <c r="K109" s="29">
        <f>tbl_financials[[#This Row],[EBITDA]]/tbl_financials[[#This Row],[Revenue]]</f>
        <v>3.620315763940931E-5</v>
      </c>
      <c r="L10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-2.0928083571970138E-2</v>
      </c>
      <c r="M109" s="35">
        <f>IFERROR((tbl_financials[[#This Row],[Net Income]]-INDEX(tbl_financials[Net Income],MATCH(tbl_financials[[#This Row],[PreviousKey]],tbl_financials[Key],0)))/INDEX(tbl_financials[Net Income],MATCH(tbl_financials[[#This Row],[PreviousKey]],tbl_financials[Key],0)),"")</f>
        <v>1.2467599750847926</v>
      </c>
      <c r="N109" s="32" t="str">
        <f>tbl_financials[[#This Row],[Company ]]&amp;tbl_financials[[#This Row],[Year]]</f>
        <v>BCS2019</v>
      </c>
      <c r="O109" s="32" t="str">
        <f>tbl_financials[[#This Row],[Company ]]&amp;(tbl_financials[[#This Row],[Year]]-1)</f>
        <v>BCS2018</v>
      </c>
      <c r="P109"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09" s="4"/>
    </row>
    <row r="110" spans="1:17" x14ac:dyDescent="0.3">
      <c r="A110" s="7">
        <v>2018</v>
      </c>
      <c r="B110" s="3" t="s">
        <v>37</v>
      </c>
      <c r="C110" s="3" t="s">
        <v>38</v>
      </c>
      <c r="D110" s="5">
        <v>28212.33</v>
      </c>
      <c r="E110" s="5">
        <v>1860.711</v>
      </c>
      <c r="F110" s="5">
        <v>1</v>
      </c>
      <c r="G110" s="23">
        <f>VLOOKUP(tbl_financials[[#This Row],[Industry]],tbl_tax[[Industry]:[Tax Rate]],2,FALSE)</f>
        <v>0.3</v>
      </c>
      <c r="H110" s="5">
        <f>tbl_financials[[#This Row],[Net Income]]*tbl_financials[[#This Row],[Tax Rate]]</f>
        <v>558.2133</v>
      </c>
      <c r="I110" s="5">
        <f>tbl_financials[[#This Row],[Net Income]]-tbl_financials[[#This Row],[Tax Amount]]</f>
        <v>1302.4976999999999</v>
      </c>
      <c r="J110" s="29">
        <f>tbl_financials[[#This Row],[Net Income]]/tbl_financials[[#This Row],[Revenue]]</f>
        <v>6.59538223181141E-2</v>
      </c>
      <c r="K110" s="29">
        <f>tbl_financials[[#This Row],[EBITDA]]/tbl_financials[[#This Row],[Revenue]]</f>
        <v>3.5445494930762542E-5</v>
      </c>
      <c r="L11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3.864041748350229E-2</v>
      </c>
      <c r="M110" s="35">
        <f>IFERROR((tbl_financials[[#This Row],[Net Income]]-INDEX(tbl_financials[Net Income],MATCH(tbl_financials[[#This Row],[PreviousKey]],tbl_financials[Key],0)))/INDEX(tbl_financials[Net Income],MATCH(tbl_financials[[#This Row],[PreviousKey]],tbl_financials[Key],0)),"")</f>
        <v>-1.7511732597303349</v>
      </c>
      <c r="N110" s="32" t="str">
        <f>tbl_financials[[#This Row],[Company ]]&amp;tbl_financials[[#This Row],[Year]]</f>
        <v>BCS2018</v>
      </c>
      <c r="O110" s="32" t="str">
        <f>tbl_financials[[#This Row],[Company ]]&amp;(tbl_financials[[#This Row],[Year]]-1)</f>
        <v>BCS2017</v>
      </c>
      <c r="P110"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110" s="4"/>
    </row>
    <row r="111" spans="1:17" x14ac:dyDescent="0.3">
      <c r="A111" s="7">
        <v>2017</v>
      </c>
      <c r="B111" s="3" t="s">
        <v>37</v>
      </c>
      <c r="C111" s="3" t="s">
        <v>38</v>
      </c>
      <c r="D111" s="5">
        <v>27162.75</v>
      </c>
      <c r="E111" s="5">
        <v>-2477.0729999999999</v>
      </c>
      <c r="F111" s="5">
        <v>1</v>
      </c>
      <c r="G111" s="23">
        <f>VLOOKUP(tbl_financials[[#This Row],[Industry]],tbl_tax[[Industry]:[Tax Rate]],2,FALSE)</f>
        <v>0.3</v>
      </c>
      <c r="H111" s="5">
        <f>tbl_financials[[#This Row],[Net Income]]*tbl_financials[[#This Row],[Tax Rate]]</f>
        <v>-743.12189999999998</v>
      </c>
      <c r="I111" s="5">
        <f>tbl_financials[[#This Row],[Net Income]]-tbl_financials[[#This Row],[Tax Amount]]</f>
        <v>-1733.9510999999998</v>
      </c>
      <c r="J111" s="29">
        <f>tbl_financials[[#This Row],[Net Income]]/tbl_financials[[#This Row],[Revenue]]</f>
        <v>-9.1193748792003745E-2</v>
      </c>
      <c r="K111" s="29">
        <f>tbl_financials[[#This Row],[EBITDA]]/tbl_financials[[#This Row],[Revenue]]</f>
        <v>3.6815123652796572E-5</v>
      </c>
      <c r="L11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-6.5690510701851335E-2</v>
      </c>
      <c r="M111" s="35">
        <f>IFERROR((tbl_financials[[#This Row],[Net Income]]-INDEX(tbl_financials[Net Income],MATCH(tbl_financials[[#This Row],[PreviousKey]],tbl_financials[Key],0)))/INDEX(tbl_financials[Net Income],MATCH(tbl_financials[[#This Row],[PreviousKey]],tbl_financials[Key],0)),"")</f>
        <v>-2.0437999603898644</v>
      </c>
      <c r="N111" s="32" t="str">
        <f>tbl_financials[[#This Row],[Company ]]&amp;tbl_financials[[#This Row],[Year]]</f>
        <v>BCS2017</v>
      </c>
      <c r="O111" s="32" t="str">
        <f>tbl_financials[[#This Row],[Company ]]&amp;(tbl_financials[[#This Row],[Year]]-1)</f>
        <v>BCS2016</v>
      </c>
      <c r="P111"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11" s="4"/>
    </row>
    <row r="112" spans="1:17" x14ac:dyDescent="0.3">
      <c r="A112" s="7">
        <v>2016</v>
      </c>
      <c r="B112" s="3" t="s">
        <v>37</v>
      </c>
      <c r="C112" s="3" t="s">
        <v>38</v>
      </c>
      <c r="D112" s="5">
        <v>29072.54</v>
      </c>
      <c r="E112" s="5">
        <v>2373.13</v>
      </c>
      <c r="F112" s="5">
        <v>1</v>
      </c>
      <c r="G112" s="23">
        <f>VLOOKUP(tbl_financials[[#This Row],[Industry]],tbl_tax[[Industry]:[Tax Rate]],2,FALSE)</f>
        <v>0.3</v>
      </c>
      <c r="H112" s="5">
        <f>tbl_financials[[#This Row],[Net Income]]*tbl_financials[[#This Row],[Tax Rate]]</f>
        <v>711.93899999999996</v>
      </c>
      <c r="I112" s="5">
        <f>tbl_financials[[#This Row],[Net Income]]-tbl_financials[[#This Row],[Tax Amount]]</f>
        <v>1661.1910000000003</v>
      </c>
      <c r="J112" s="29">
        <f>tbl_financials[[#This Row],[Net Income]]/tbl_financials[[#This Row],[Revenue]]</f>
        <v>8.1627886658682036E-2</v>
      </c>
      <c r="K112" s="29">
        <f>tbl_financials[[#This Row],[EBITDA]]/tbl_financials[[#This Row],[Revenue]]</f>
        <v>3.4396719378492553E-5</v>
      </c>
      <c r="L11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-0.25300186334956876</v>
      </c>
      <c r="M112" s="35">
        <f>IFERROR((tbl_financials[[#This Row],[Net Income]]-INDEX(tbl_financials[Net Income],MATCH(tbl_financials[[#This Row],[PreviousKey]],tbl_financials[Key],0)))/INDEX(tbl_financials[Net Income],MATCH(tbl_financials[[#This Row],[PreviousKey]],tbl_financials[Key],0)),"")</f>
        <v>-5.790369724422483</v>
      </c>
      <c r="N112" s="32" t="str">
        <f>tbl_financials[[#This Row],[Company ]]&amp;tbl_financials[[#This Row],[Year]]</f>
        <v>BCS2016</v>
      </c>
      <c r="O112" s="32" t="str">
        <f>tbl_financials[[#This Row],[Company ]]&amp;(tbl_financials[[#This Row],[Year]]-1)</f>
        <v>BCS2015</v>
      </c>
      <c r="P112"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112" s="4"/>
    </row>
    <row r="113" spans="1:17" x14ac:dyDescent="0.3">
      <c r="A113" s="7">
        <v>2015</v>
      </c>
      <c r="B113" s="3" t="s">
        <v>37</v>
      </c>
      <c r="C113" s="3" t="s">
        <v>38</v>
      </c>
      <c r="D113" s="5">
        <v>38919.160000000003</v>
      </c>
      <c r="E113" s="5">
        <v>-495.39600000000002</v>
      </c>
      <c r="F113" s="5">
        <v>1</v>
      </c>
      <c r="G113" s="23">
        <f>VLOOKUP(tbl_financials[[#This Row],[Industry]],tbl_tax[[Industry]:[Tax Rate]],2,FALSE)</f>
        <v>0.3</v>
      </c>
      <c r="H113" s="5">
        <f>tbl_financials[[#This Row],[Net Income]]*tbl_financials[[#This Row],[Tax Rate]]</f>
        <v>-148.61879999999999</v>
      </c>
      <c r="I113" s="5">
        <f>tbl_financials[[#This Row],[Net Income]]-tbl_financials[[#This Row],[Tax Amount]]</f>
        <v>-346.77719999999999</v>
      </c>
      <c r="J113" s="29">
        <f>tbl_financials[[#This Row],[Net Income]]/tbl_financials[[#This Row],[Revenue]]</f>
        <v>-1.272884615186967E-2</v>
      </c>
      <c r="K113" s="29">
        <f>tbl_financials[[#This Row],[EBITDA]]/tbl_financials[[#This Row],[Revenue]]</f>
        <v>2.5694285282621719E-5</v>
      </c>
      <c r="L11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-6.6175110342237844E-2</v>
      </c>
      <c r="M113" s="35">
        <f>IFERROR((tbl_financials[[#This Row],[Net Income]]-INDEX(tbl_financials[Net Income],MATCH(tbl_financials[[#This Row],[PreviousKey]],tbl_financials[Key],0)))/INDEX(tbl_financials[Net Income],MATCH(tbl_financials[[#This Row],[PreviousKey]],tbl_financials[Key],0)),"")</f>
        <v>1.5048894785702296</v>
      </c>
      <c r="N113" s="32" t="str">
        <f>tbl_financials[[#This Row],[Company ]]&amp;tbl_financials[[#This Row],[Year]]</f>
        <v>BCS2015</v>
      </c>
      <c r="O113" s="32" t="str">
        <f>tbl_financials[[#This Row],[Company ]]&amp;(tbl_financials[[#This Row],[Year]]-1)</f>
        <v>BCS2014</v>
      </c>
      <c r="P113"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113" s="4"/>
    </row>
    <row r="114" spans="1:17" x14ac:dyDescent="0.3">
      <c r="A114" s="7">
        <v>2014</v>
      </c>
      <c r="B114" s="3" t="s">
        <v>37</v>
      </c>
      <c r="C114" s="3" t="s">
        <v>38</v>
      </c>
      <c r="D114" s="5">
        <v>41677.15</v>
      </c>
      <c r="E114" s="5">
        <v>-197.77160000000001</v>
      </c>
      <c r="F114" s="5">
        <v>1</v>
      </c>
      <c r="G114" s="23">
        <f>VLOOKUP(tbl_financials[[#This Row],[Industry]],tbl_tax[[Industry]:[Tax Rate]],2,FALSE)</f>
        <v>0.3</v>
      </c>
      <c r="H114" s="5">
        <f>tbl_financials[[#This Row],[Net Income]]*tbl_financials[[#This Row],[Tax Rate]]</f>
        <v>-59.331479999999999</v>
      </c>
      <c r="I114" s="5">
        <f>tbl_financials[[#This Row],[Net Income]]-tbl_financials[[#This Row],[Tax Amount]]</f>
        <v>-138.44012000000001</v>
      </c>
      <c r="J114" s="29">
        <f>tbl_financials[[#This Row],[Net Income]]/tbl_financials[[#This Row],[Revenue]]</f>
        <v>-4.7453244763617473E-3</v>
      </c>
      <c r="K114" s="29">
        <f>tbl_financials[[#This Row],[EBITDA]]/tbl_financials[[#This Row],[Revenue]]</f>
        <v>2.3993963118879288E-5</v>
      </c>
      <c r="L11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-4.6566340346476061E-2</v>
      </c>
      <c r="M114" s="35">
        <f>IFERROR((tbl_financials[[#This Row],[Net Income]]-INDEX(tbl_financials[Net Income],MATCH(tbl_financials[[#This Row],[PreviousKey]],tbl_financials[Key],0)))/INDEX(tbl_financials[Net Income],MATCH(tbl_financials[[#This Row],[PreviousKey]],tbl_financials[Key],0)),"")</f>
        <v>-1.2336188191979558</v>
      </c>
      <c r="N114" s="32" t="str">
        <f>tbl_financials[[#This Row],[Company ]]&amp;tbl_financials[[#This Row],[Year]]</f>
        <v>BCS2014</v>
      </c>
      <c r="O114" s="32" t="str">
        <f>tbl_financials[[#This Row],[Company ]]&amp;(tbl_financials[[#This Row],[Year]]-1)</f>
        <v>BCS2013</v>
      </c>
      <c r="P114"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14" s="4"/>
    </row>
    <row r="115" spans="1:17" x14ac:dyDescent="0.3">
      <c r="A115" s="7">
        <v>2013</v>
      </c>
      <c r="B115" s="3" t="s">
        <v>37</v>
      </c>
      <c r="C115" s="3" t="s">
        <v>38</v>
      </c>
      <c r="D115" s="5">
        <v>43712.69</v>
      </c>
      <c r="E115" s="5">
        <v>846.55679999999995</v>
      </c>
      <c r="F115" s="5">
        <v>1</v>
      </c>
      <c r="G115" s="23">
        <f>VLOOKUP(tbl_financials[[#This Row],[Industry]],tbl_tax[[Industry]:[Tax Rate]],2,FALSE)</f>
        <v>0.3</v>
      </c>
      <c r="H115" s="5">
        <f>tbl_financials[[#This Row],[Net Income]]*tbl_financials[[#This Row],[Tax Rate]]</f>
        <v>253.96703999999997</v>
      </c>
      <c r="I115" s="5">
        <f>tbl_financials[[#This Row],[Net Income]]-tbl_financials[[#This Row],[Tax Amount]]</f>
        <v>592.58975999999996</v>
      </c>
      <c r="J115" s="29">
        <f>tbl_financials[[#This Row],[Net Income]]/tbl_financials[[#This Row],[Revenue]]</f>
        <v>1.936638536772731E-2</v>
      </c>
      <c r="K115" s="29">
        <f>tbl_financials[[#This Row],[EBITDA]]/tbl_financials[[#This Row],[Revenue]]</f>
        <v>2.2876652066024761E-5</v>
      </c>
      <c r="L11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-5.046848057805111E-2</v>
      </c>
      <c r="M115" s="35">
        <f>IFERROR((tbl_financials[[#This Row],[Net Income]]-INDEX(tbl_financials[Net Income],MATCH(tbl_financials[[#This Row],[PreviousKey]],tbl_financials[Key],0)))/INDEX(tbl_financials[Net Income],MATCH(tbl_financials[[#This Row],[PreviousKey]],tbl_financials[Key],0)),"")</f>
        <v>-1.5130370543649463</v>
      </c>
      <c r="N115" s="32" t="str">
        <f>tbl_financials[[#This Row],[Company ]]&amp;tbl_financials[[#This Row],[Year]]</f>
        <v>BCS2013</v>
      </c>
      <c r="O115" s="32" t="str">
        <f>tbl_financials[[#This Row],[Company ]]&amp;(tbl_financials[[#This Row],[Year]]-1)</f>
        <v>BCS2012</v>
      </c>
      <c r="P115"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115" s="4"/>
    </row>
    <row r="116" spans="1:17" x14ac:dyDescent="0.3">
      <c r="A116" s="7">
        <v>2012</v>
      </c>
      <c r="B116" s="3" t="s">
        <v>37</v>
      </c>
      <c r="C116" s="3" t="s">
        <v>38</v>
      </c>
      <c r="D116" s="5">
        <v>46036.06</v>
      </c>
      <c r="E116" s="5">
        <v>-1650.0889999999999</v>
      </c>
      <c r="F116" s="5">
        <v>1</v>
      </c>
      <c r="G116" s="23">
        <f>VLOOKUP(tbl_financials[[#This Row],[Industry]],tbl_tax[[Industry]:[Tax Rate]],2,FALSE)</f>
        <v>0.3</v>
      </c>
      <c r="H116" s="5">
        <f>tbl_financials[[#This Row],[Net Income]]*tbl_financials[[#This Row],[Tax Rate]]</f>
        <v>-495.02669999999995</v>
      </c>
      <c r="I116" s="5">
        <f>tbl_financials[[#This Row],[Net Income]]-tbl_financials[[#This Row],[Tax Amount]]</f>
        <v>-1155.0623000000001</v>
      </c>
      <c r="J116" s="29">
        <f>tbl_financials[[#This Row],[Net Income]]/tbl_financials[[#This Row],[Revenue]]</f>
        <v>-3.5843401889736004E-2</v>
      </c>
      <c r="K116" s="29">
        <f>tbl_financials[[#This Row],[EBITDA]]/tbl_financials[[#This Row],[Revenue]]</f>
        <v>2.1722102195539757E-5</v>
      </c>
      <c r="L11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-5.7928058343063901E-2</v>
      </c>
      <c r="M116" s="35">
        <f>IFERROR((tbl_financials[[#This Row],[Net Income]]-INDEX(tbl_financials[Net Income],MATCH(tbl_financials[[#This Row],[PreviousKey]],tbl_financials[Key],0)))/INDEX(tbl_financials[Net Income],MATCH(tbl_financials[[#This Row],[PreviousKey]],tbl_financials[Key],0)),"")</f>
        <v>-1.2603082830360721</v>
      </c>
      <c r="N116" s="32" t="str">
        <f>tbl_financials[[#This Row],[Company ]]&amp;tbl_financials[[#This Row],[Year]]</f>
        <v>BCS2012</v>
      </c>
      <c r="O116" s="32" t="str">
        <f>tbl_financials[[#This Row],[Company ]]&amp;(tbl_financials[[#This Row],[Year]]-1)</f>
        <v>BCS2011</v>
      </c>
      <c r="P116"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16" s="4"/>
    </row>
    <row r="117" spans="1:17" x14ac:dyDescent="0.3">
      <c r="A117" s="7">
        <v>2011</v>
      </c>
      <c r="B117" s="3" t="s">
        <v>37</v>
      </c>
      <c r="C117" s="3" t="s">
        <v>38</v>
      </c>
      <c r="D117" s="5">
        <v>48866.82</v>
      </c>
      <c r="E117" s="5">
        <v>6338.98</v>
      </c>
      <c r="F117" s="5">
        <v>1</v>
      </c>
      <c r="G117" s="23">
        <f>VLOOKUP(tbl_financials[[#This Row],[Industry]],tbl_tax[[Industry]:[Tax Rate]],2,FALSE)</f>
        <v>0.3</v>
      </c>
      <c r="H117" s="5">
        <f>tbl_financials[[#This Row],[Net Income]]*tbl_financials[[#This Row],[Tax Rate]]</f>
        <v>1901.6939999999997</v>
      </c>
      <c r="I117" s="5">
        <f>tbl_financials[[#This Row],[Net Income]]-tbl_financials[[#This Row],[Tax Amount]]</f>
        <v>4437.2860000000001</v>
      </c>
      <c r="J117" s="29">
        <f>tbl_financials[[#This Row],[Net Income]]/tbl_financials[[#This Row],[Revenue]]</f>
        <v>0.1297195111120388</v>
      </c>
      <c r="K117" s="29">
        <f>tbl_financials[[#This Row],[EBITDA]]/tbl_financials[[#This Row],[Revenue]]</f>
        <v>2.0463782992222536E-5</v>
      </c>
      <c r="L11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-3.3295893723994277E-3</v>
      </c>
      <c r="M117" s="35">
        <f>IFERROR((tbl_financials[[#This Row],[Net Income]]-INDEX(tbl_financials[Net Income],MATCH(tbl_financials[[#This Row],[PreviousKey]],tbl_financials[Key],0)))/INDEX(tbl_financials[Net Income],MATCH(tbl_financials[[#This Row],[PreviousKey]],tbl_financials[Key],0)),"")</f>
        <v>-9.8822736636191386E-2</v>
      </c>
      <c r="N117" s="32" t="str">
        <f>tbl_financials[[#This Row],[Company ]]&amp;tbl_financials[[#This Row],[Year]]</f>
        <v>BCS2011</v>
      </c>
      <c r="O117" s="32" t="str">
        <f>tbl_financials[[#This Row],[Company ]]&amp;(tbl_financials[[#This Row],[Year]]-1)</f>
        <v>BCS2010</v>
      </c>
      <c r="P11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17" s="4"/>
    </row>
    <row r="118" spans="1:17" x14ac:dyDescent="0.3">
      <c r="A118" s="7">
        <v>2010</v>
      </c>
      <c r="B118" s="3" t="s">
        <v>37</v>
      </c>
      <c r="C118" s="3" t="s">
        <v>38</v>
      </c>
      <c r="D118" s="5">
        <v>49030.07</v>
      </c>
      <c r="E118" s="5">
        <v>7034.11</v>
      </c>
      <c r="F118" s="5">
        <v>1</v>
      </c>
      <c r="G118" s="23">
        <f>VLOOKUP(tbl_financials[[#This Row],[Industry]],tbl_tax[[Industry]:[Tax Rate]],2,FALSE)</f>
        <v>0.3</v>
      </c>
      <c r="H118" s="5">
        <f>tbl_financials[[#This Row],[Net Income]]*tbl_financials[[#This Row],[Tax Rate]]</f>
        <v>2110.2329999999997</v>
      </c>
      <c r="I118" s="5">
        <f>tbl_financials[[#This Row],[Net Income]]-tbl_financials[[#This Row],[Tax Amount]]</f>
        <v>4923.8770000000004</v>
      </c>
      <c r="J118" s="29">
        <f>tbl_financials[[#This Row],[Net Income]]/tbl_financials[[#This Row],[Revenue]]</f>
        <v>0.14346522450406454</v>
      </c>
      <c r="K118" s="29">
        <f>tbl_financials[[#This Row],[EBITDA]]/tbl_financials[[#This Row],[Revenue]]</f>
        <v>2.0395646997852541E-5</v>
      </c>
      <c r="L11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6.605556091880245E-2</v>
      </c>
      <c r="M118" s="35">
        <f>IFERROR((tbl_financials[[#This Row],[Net Income]]-INDEX(tbl_financials[Net Income],MATCH(tbl_financials[[#This Row],[PreviousKey]],tbl_financials[Key],0)))/INDEX(tbl_financials[Net Income],MATCH(tbl_financials[[#This Row],[PreviousKey]],tbl_financials[Key],0)),"")</f>
        <v>0.2794245771544252</v>
      </c>
      <c r="N118" s="32" t="str">
        <f>tbl_financials[[#This Row],[Company ]]&amp;tbl_financials[[#This Row],[Year]]</f>
        <v>BCS2010</v>
      </c>
      <c r="O118" s="32" t="str">
        <f>tbl_financials[[#This Row],[Company ]]&amp;(tbl_financials[[#This Row],[Year]]-1)</f>
        <v>BCS2009</v>
      </c>
      <c r="P11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18" s="4"/>
    </row>
    <row r="119" spans="1:17" x14ac:dyDescent="0.3">
      <c r="A119" s="7">
        <v>2009</v>
      </c>
      <c r="B119" s="3" t="s">
        <v>37</v>
      </c>
      <c r="C119" s="3" t="s">
        <v>38</v>
      </c>
      <c r="D119" s="5">
        <v>45992.04</v>
      </c>
      <c r="E119" s="5">
        <v>5497.87</v>
      </c>
      <c r="F119" s="5">
        <v>1</v>
      </c>
      <c r="G119" s="23">
        <f>VLOOKUP(tbl_financials[[#This Row],[Industry]],tbl_tax[[Industry]:[Tax Rate]],2,FALSE)</f>
        <v>0.3</v>
      </c>
      <c r="H119" s="5">
        <f>tbl_financials[[#This Row],[Net Income]]*tbl_financials[[#This Row],[Tax Rate]]</f>
        <v>1649.3609999999999</v>
      </c>
      <c r="I119" s="5">
        <f>tbl_financials[[#This Row],[Net Income]]-tbl_financials[[#This Row],[Tax Amount]]</f>
        <v>3848.509</v>
      </c>
      <c r="J119" s="29">
        <f>tbl_financials[[#This Row],[Net Income]]/tbl_financials[[#This Row],[Revenue]]</f>
        <v>0.11953959859140842</v>
      </c>
      <c r="K119" s="29">
        <f>tbl_financials[[#This Row],[EBITDA]]/tbl_financials[[#This Row],[Revenue]]</f>
        <v>2.1742892900597582E-5</v>
      </c>
      <c r="L119"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119" s="35" t="str">
        <f>IFERROR((tbl_financials[[#This Row],[Net Income]]-INDEX(tbl_financials[Net Income],MATCH(tbl_financials[[#This Row],[PreviousKey]],tbl_financials[Key],0)))/INDEX(tbl_financials[Net Income],MATCH(tbl_financials[[#This Row],[PreviousKey]],tbl_financials[Key],0)),"")</f>
        <v/>
      </c>
      <c r="N119" s="32" t="str">
        <f>tbl_financials[[#This Row],[Company ]]&amp;tbl_financials[[#This Row],[Year]]</f>
        <v>BCS2009</v>
      </c>
      <c r="O119" s="32" t="str">
        <f>tbl_financials[[#This Row],[Company ]]&amp;(tbl_financials[[#This Row],[Year]]-1)</f>
        <v>BCS2008</v>
      </c>
      <c r="P119"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119" s="4"/>
    </row>
    <row r="120" spans="1:17" x14ac:dyDescent="0.3">
      <c r="A120" s="7">
        <v>2023</v>
      </c>
      <c r="B120" s="3" t="s">
        <v>39</v>
      </c>
      <c r="C120" s="3" t="s">
        <v>40</v>
      </c>
      <c r="D120" s="5">
        <v>26974</v>
      </c>
      <c r="E120" s="5">
        <v>4368</v>
      </c>
      <c r="F120" s="5">
        <v>5768</v>
      </c>
      <c r="G120" s="23">
        <f>VLOOKUP(tbl_financials[[#This Row],[Industry]],tbl_tax[[Industry]:[Tax Rate]],2,FALSE)</f>
        <v>0.26</v>
      </c>
      <c r="H120" s="5">
        <f>tbl_financials[[#This Row],[Net Income]]*tbl_financials[[#This Row],[Tax Rate]]</f>
        <v>1135.68</v>
      </c>
      <c r="I120" s="5">
        <f>tbl_financials[[#This Row],[Net Income]]-tbl_financials[[#This Row],[Tax Amount]]</f>
        <v>3232.3199999999997</v>
      </c>
      <c r="J120" s="29">
        <f>tbl_financials[[#This Row],[Net Income]]/tbl_financials[[#This Row],[Revenue]]</f>
        <v>0.16193371394676356</v>
      </c>
      <c r="K120" s="29">
        <f>tbl_financials[[#This Row],[EBITDA]]/tbl_financials[[#This Row],[Revenue]]</f>
        <v>0.21383554533995699</v>
      </c>
      <c r="L12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2.2293230289068887E-3</v>
      </c>
      <c r="M120" s="35">
        <f>IFERROR((tbl_financials[[#This Row],[Net Income]]-INDEX(tbl_financials[Net Income],MATCH(tbl_financials[[#This Row],[PreviousKey]],tbl_financials[Key],0)))/INDEX(tbl_financials[Net Income],MATCH(tbl_financials[[#This Row],[PreviousKey]],tbl_financials[Key],0)),"")</f>
        <v>-0.55209187858900743</v>
      </c>
      <c r="N120" s="32" t="str">
        <f>tbl_financials[[#This Row],[Company ]]&amp;tbl_financials[[#This Row],[Year]]</f>
        <v>NVDA2023</v>
      </c>
      <c r="O120" s="32" t="str">
        <f>tbl_financials[[#This Row],[Company ]]&amp;(tbl_financials[[#This Row],[Year]]-1)</f>
        <v>NVDA2022</v>
      </c>
      <c r="P12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0" s="4"/>
    </row>
    <row r="121" spans="1:17" x14ac:dyDescent="0.3">
      <c r="A121" s="7">
        <v>2022</v>
      </c>
      <c r="B121" s="3" t="s">
        <v>39</v>
      </c>
      <c r="C121" s="3" t="s">
        <v>40</v>
      </c>
      <c r="D121" s="5">
        <v>26914</v>
      </c>
      <c r="E121" s="5">
        <v>9752</v>
      </c>
      <c r="F121" s="5">
        <v>11215</v>
      </c>
      <c r="G121" s="23">
        <f>VLOOKUP(tbl_financials[[#This Row],[Industry]],tbl_tax[[Industry]:[Tax Rate]],2,FALSE)</f>
        <v>0.26</v>
      </c>
      <c r="H121" s="5">
        <f>tbl_financials[[#This Row],[Net Income]]*tbl_financials[[#This Row],[Tax Rate]]</f>
        <v>2535.52</v>
      </c>
      <c r="I121" s="5">
        <f>tbl_financials[[#This Row],[Net Income]]-tbl_financials[[#This Row],[Tax Amount]]</f>
        <v>7216.48</v>
      </c>
      <c r="J121" s="29">
        <f>tbl_financials[[#This Row],[Net Income]]/tbl_financials[[#This Row],[Revenue]]</f>
        <v>0.36233930296499961</v>
      </c>
      <c r="K121" s="29">
        <f>tbl_financials[[#This Row],[EBITDA]]/tbl_financials[[#This Row],[Revenue]]</f>
        <v>0.41669762948651262</v>
      </c>
      <c r="L12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0.61403298350824587</v>
      </c>
      <c r="M121" s="35">
        <f>IFERROR((tbl_financials[[#This Row],[Net Income]]-INDEX(tbl_financials[Net Income],MATCH(tbl_financials[[#This Row],[PreviousKey]],tbl_financials[Key],0)))/INDEX(tbl_financials[Net Income],MATCH(tbl_financials[[#This Row],[PreviousKey]],tbl_financials[Key],0)),"")</f>
        <v>1.2511542012927055</v>
      </c>
      <c r="N121" s="32" t="str">
        <f>tbl_financials[[#This Row],[Company ]]&amp;tbl_financials[[#This Row],[Year]]</f>
        <v>NVDA2022</v>
      </c>
      <c r="O121" s="32" t="str">
        <f>tbl_financials[[#This Row],[Company ]]&amp;(tbl_financials[[#This Row],[Year]]-1)</f>
        <v>NVDA2021</v>
      </c>
      <c r="P121"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21" s="4"/>
    </row>
    <row r="122" spans="1:17" x14ac:dyDescent="0.3">
      <c r="A122" s="7">
        <v>2021</v>
      </c>
      <c r="B122" s="3" t="s">
        <v>39</v>
      </c>
      <c r="C122" s="3" t="s">
        <v>40</v>
      </c>
      <c r="D122" s="5">
        <v>16675</v>
      </c>
      <c r="E122" s="5">
        <v>4332</v>
      </c>
      <c r="F122" s="5">
        <v>5630</v>
      </c>
      <c r="G122" s="23">
        <f>VLOOKUP(tbl_financials[[#This Row],[Industry]],tbl_tax[[Industry]:[Tax Rate]],2,FALSE)</f>
        <v>0.26</v>
      </c>
      <c r="H122" s="5">
        <f>tbl_financials[[#This Row],[Net Income]]*tbl_financials[[#This Row],[Tax Rate]]</f>
        <v>1126.32</v>
      </c>
      <c r="I122" s="5">
        <f>tbl_financials[[#This Row],[Net Income]]-tbl_financials[[#This Row],[Tax Amount]]</f>
        <v>3205.6800000000003</v>
      </c>
      <c r="J122" s="29">
        <f>tbl_financials[[#This Row],[Net Income]]/tbl_financials[[#This Row],[Revenue]]</f>
        <v>0.25979010494752625</v>
      </c>
      <c r="K122" s="29">
        <f>tbl_financials[[#This Row],[EBITDA]]/tbl_financials[[#This Row],[Revenue]]</f>
        <v>0.3376311844077961</v>
      </c>
      <c r="L12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0.52729437625938813</v>
      </c>
      <c r="M122" s="35">
        <f>IFERROR((tbl_financials[[#This Row],[Net Income]]-INDEX(tbl_financials[Net Income],MATCH(tbl_financials[[#This Row],[PreviousKey]],tbl_financials[Key],0)))/INDEX(tbl_financials[Net Income],MATCH(tbl_financials[[#This Row],[PreviousKey]],tbl_financials[Key],0)),"")</f>
        <v>0.54935622317596566</v>
      </c>
      <c r="N122" s="32" t="str">
        <f>tbl_financials[[#This Row],[Company ]]&amp;tbl_financials[[#This Row],[Year]]</f>
        <v>NVDA2021</v>
      </c>
      <c r="O122" s="32" t="str">
        <f>tbl_financials[[#This Row],[Company ]]&amp;(tbl_financials[[#This Row],[Year]]-1)</f>
        <v>NVDA2020</v>
      </c>
      <c r="P12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2" s="4"/>
    </row>
    <row r="123" spans="1:17" x14ac:dyDescent="0.3">
      <c r="A123" s="7">
        <v>2020</v>
      </c>
      <c r="B123" s="3" t="s">
        <v>39</v>
      </c>
      <c r="C123" s="3" t="s">
        <v>40</v>
      </c>
      <c r="D123" s="5">
        <v>10918</v>
      </c>
      <c r="E123" s="5">
        <v>2796</v>
      </c>
      <c r="F123" s="5">
        <v>3227</v>
      </c>
      <c r="G123" s="23">
        <f>VLOOKUP(tbl_financials[[#This Row],[Industry]],tbl_tax[[Industry]:[Tax Rate]],2,FALSE)</f>
        <v>0.26</v>
      </c>
      <c r="H123" s="5">
        <f>tbl_financials[[#This Row],[Net Income]]*tbl_financials[[#This Row],[Tax Rate]]</f>
        <v>726.96</v>
      </c>
      <c r="I123" s="5">
        <f>tbl_financials[[#This Row],[Net Income]]-tbl_financials[[#This Row],[Tax Amount]]</f>
        <v>2069.04</v>
      </c>
      <c r="J123" s="29">
        <f>tbl_financials[[#This Row],[Net Income]]/tbl_financials[[#This Row],[Revenue]]</f>
        <v>0.25609085913170909</v>
      </c>
      <c r="K123" s="29">
        <f>tbl_financials[[#This Row],[EBITDA]]/tbl_financials[[#This Row],[Revenue]]</f>
        <v>0.29556695365451546</v>
      </c>
      <c r="L12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-6.8111983612154314E-2</v>
      </c>
      <c r="M123" s="35">
        <f>IFERROR((tbl_financials[[#This Row],[Net Income]]-INDEX(tbl_financials[Net Income],MATCH(tbl_financials[[#This Row],[PreviousKey]],tbl_financials[Key],0)))/INDEX(tbl_financials[Net Income],MATCH(tbl_financials[[#This Row],[PreviousKey]],tbl_financials[Key],0)),"")</f>
        <v>-0.32480077276020286</v>
      </c>
      <c r="N123" s="32" t="str">
        <f>tbl_financials[[#This Row],[Company ]]&amp;tbl_financials[[#This Row],[Year]]</f>
        <v>NVDA2020</v>
      </c>
      <c r="O123" s="32" t="str">
        <f>tbl_financials[[#This Row],[Company ]]&amp;(tbl_financials[[#This Row],[Year]]-1)</f>
        <v>NVDA2019</v>
      </c>
      <c r="P12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3" s="4"/>
    </row>
    <row r="124" spans="1:17" x14ac:dyDescent="0.3">
      <c r="A124" s="7">
        <v>2019</v>
      </c>
      <c r="B124" s="3" t="s">
        <v>39</v>
      </c>
      <c r="C124" s="3" t="s">
        <v>40</v>
      </c>
      <c r="D124" s="5">
        <v>11716</v>
      </c>
      <c r="E124" s="5">
        <v>4141</v>
      </c>
      <c r="F124" s="5">
        <v>4066</v>
      </c>
      <c r="G124" s="23">
        <f>VLOOKUP(tbl_financials[[#This Row],[Industry]],tbl_tax[[Industry]:[Tax Rate]],2,FALSE)</f>
        <v>0.26</v>
      </c>
      <c r="H124" s="5">
        <f>tbl_financials[[#This Row],[Net Income]]*tbl_financials[[#This Row],[Tax Rate]]</f>
        <v>1076.6600000000001</v>
      </c>
      <c r="I124" s="5">
        <f>tbl_financials[[#This Row],[Net Income]]-tbl_financials[[#This Row],[Tax Amount]]</f>
        <v>3064.34</v>
      </c>
      <c r="J124" s="29">
        <f>tbl_financials[[#This Row],[Net Income]]/tbl_financials[[#This Row],[Revenue]]</f>
        <v>0.35344827586206895</v>
      </c>
      <c r="K124" s="29">
        <f>tbl_financials[[#This Row],[EBITDA]]/tbl_financials[[#This Row],[Revenue]]</f>
        <v>0.34704677364288156</v>
      </c>
      <c r="L12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0.20609429689108502</v>
      </c>
      <c r="M124" s="35">
        <f>IFERROR((tbl_financials[[#This Row],[Net Income]]-INDEX(tbl_financials[Net Income],MATCH(tbl_financials[[#This Row],[PreviousKey]],tbl_financials[Key],0)))/INDEX(tbl_financials[Net Income],MATCH(tbl_financials[[#This Row],[PreviousKey]],tbl_financials[Key],0)),"")</f>
        <v>0.35904168034131934</v>
      </c>
      <c r="N124" s="32" t="str">
        <f>tbl_financials[[#This Row],[Company ]]&amp;tbl_financials[[#This Row],[Year]]</f>
        <v>NVDA2019</v>
      </c>
      <c r="O124" s="32" t="str">
        <f>tbl_financials[[#This Row],[Company ]]&amp;(tbl_financials[[#This Row],[Year]]-1)</f>
        <v>NVDA2018</v>
      </c>
      <c r="P12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4" s="4"/>
    </row>
    <row r="125" spans="1:17" x14ac:dyDescent="0.3">
      <c r="A125" s="7">
        <v>2018</v>
      </c>
      <c r="B125" s="3" t="s">
        <v>39</v>
      </c>
      <c r="C125" s="3" t="s">
        <v>40</v>
      </c>
      <c r="D125" s="5">
        <v>9714</v>
      </c>
      <c r="E125" s="5">
        <v>3047</v>
      </c>
      <c r="F125" s="5">
        <v>3409</v>
      </c>
      <c r="G125" s="23">
        <f>VLOOKUP(tbl_financials[[#This Row],[Industry]],tbl_tax[[Industry]:[Tax Rate]],2,FALSE)</f>
        <v>0.26</v>
      </c>
      <c r="H125" s="5">
        <f>tbl_financials[[#This Row],[Net Income]]*tbl_financials[[#This Row],[Tax Rate]]</f>
        <v>792.22</v>
      </c>
      <c r="I125" s="5">
        <f>tbl_financials[[#This Row],[Net Income]]-tbl_financials[[#This Row],[Tax Amount]]</f>
        <v>2254.7799999999997</v>
      </c>
      <c r="J125" s="29">
        <f>tbl_financials[[#This Row],[Net Income]]/tbl_financials[[#This Row],[Revenue]]</f>
        <v>0.3136709903232448</v>
      </c>
      <c r="K125" s="29">
        <f>tbl_financials[[#This Row],[EBITDA]]/tbl_financials[[#This Row],[Revenue]]</f>
        <v>0.35093679225859586</v>
      </c>
      <c r="L12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0.4057887120115774</v>
      </c>
      <c r="M125" s="35">
        <f>IFERROR((tbl_financials[[#This Row],[Net Income]]-INDEX(tbl_financials[Net Income],MATCH(tbl_financials[[#This Row],[PreviousKey]],tbl_financials[Key],0)))/INDEX(tbl_financials[Net Income],MATCH(tbl_financials[[#This Row],[PreviousKey]],tbl_financials[Key],0)),"")</f>
        <v>0.82893157262905159</v>
      </c>
      <c r="N125" s="32" t="str">
        <f>tbl_financials[[#This Row],[Company ]]&amp;tbl_financials[[#This Row],[Year]]</f>
        <v>NVDA2018</v>
      </c>
      <c r="O125" s="32" t="str">
        <f>tbl_financials[[#This Row],[Company ]]&amp;(tbl_financials[[#This Row],[Year]]-1)</f>
        <v>NVDA2017</v>
      </c>
      <c r="P125"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5" s="4"/>
    </row>
    <row r="126" spans="1:17" x14ac:dyDescent="0.3">
      <c r="A126" s="7">
        <v>2017</v>
      </c>
      <c r="B126" s="3" t="s">
        <v>39</v>
      </c>
      <c r="C126" s="3" t="s">
        <v>40</v>
      </c>
      <c r="D126" s="5">
        <v>6910</v>
      </c>
      <c r="E126" s="5">
        <v>1666</v>
      </c>
      <c r="F126" s="5">
        <v>2121</v>
      </c>
      <c r="G126" s="23">
        <f>VLOOKUP(tbl_financials[[#This Row],[Industry]],tbl_tax[[Industry]:[Tax Rate]],2,FALSE)</f>
        <v>0.26</v>
      </c>
      <c r="H126" s="5">
        <f>tbl_financials[[#This Row],[Net Income]]*tbl_financials[[#This Row],[Tax Rate]]</f>
        <v>433.16</v>
      </c>
      <c r="I126" s="5">
        <f>tbl_financials[[#This Row],[Net Income]]-tbl_financials[[#This Row],[Tax Amount]]</f>
        <v>1232.8399999999999</v>
      </c>
      <c r="J126" s="29">
        <f>tbl_financials[[#This Row],[Net Income]]/tbl_financials[[#This Row],[Revenue]]</f>
        <v>0.24109985528219971</v>
      </c>
      <c r="K126" s="29">
        <f>tbl_financials[[#This Row],[EBITDA]]/tbl_financials[[#This Row],[Revenue]]</f>
        <v>0.3069464544138929</v>
      </c>
      <c r="L12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0.37924151696606784</v>
      </c>
      <c r="M126" s="35">
        <f>IFERROR((tbl_financials[[#This Row],[Net Income]]-INDEX(tbl_financials[Net Income],MATCH(tbl_financials[[#This Row],[PreviousKey]],tbl_financials[Key],0)))/INDEX(tbl_financials[Net Income],MATCH(tbl_financials[[#This Row],[PreviousKey]],tbl_financials[Key],0)),"")</f>
        <v>1.7133550488599349</v>
      </c>
      <c r="N126" s="32" t="str">
        <f>tbl_financials[[#This Row],[Company ]]&amp;tbl_financials[[#This Row],[Year]]</f>
        <v>NVDA2017</v>
      </c>
      <c r="O126" s="32" t="str">
        <f>tbl_financials[[#This Row],[Company ]]&amp;(tbl_financials[[#This Row],[Year]]-1)</f>
        <v>NVDA2016</v>
      </c>
      <c r="P126"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26" s="4"/>
    </row>
    <row r="127" spans="1:17" x14ac:dyDescent="0.3">
      <c r="A127" s="7">
        <v>2016</v>
      </c>
      <c r="B127" s="3" t="s">
        <v>39</v>
      </c>
      <c r="C127" s="3" t="s">
        <v>40</v>
      </c>
      <c r="D127" s="5">
        <v>5010</v>
      </c>
      <c r="E127" s="5">
        <v>614</v>
      </c>
      <c r="F127" s="5">
        <v>973</v>
      </c>
      <c r="G127" s="23">
        <f>VLOOKUP(tbl_financials[[#This Row],[Industry]],tbl_tax[[Industry]:[Tax Rate]],2,FALSE)</f>
        <v>0.26</v>
      </c>
      <c r="H127" s="5">
        <f>tbl_financials[[#This Row],[Net Income]]*tbl_financials[[#This Row],[Tax Rate]]</f>
        <v>159.64000000000001</v>
      </c>
      <c r="I127" s="5">
        <f>tbl_financials[[#This Row],[Net Income]]-tbl_financials[[#This Row],[Tax Amount]]</f>
        <v>454.36</v>
      </c>
      <c r="J127" s="29">
        <f>tbl_financials[[#This Row],[Net Income]]/tbl_financials[[#This Row],[Revenue]]</f>
        <v>0.12255489021956088</v>
      </c>
      <c r="K127" s="29">
        <f>tbl_financials[[#This Row],[EBITDA]]/tbl_financials[[#This Row],[Revenue]]</f>
        <v>0.19421157684630738</v>
      </c>
      <c r="L12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7.0055531824006839E-2</v>
      </c>
      <c r="M127" s="35">
        <f>IFERROR((tbl_financials[[#This Row],[Net Income]]-INDEX(tbl_financials[Net Income],MATCH(tbl_financials[[#This Row],[PreviousKey]],tbl_financials[Key],0)))/INDEX(tbl_financials[Net Income],MATCH(tbl_financials[[#This Row],[PreviousKey]],tbl_financials[Key],0)),"")</f>
        <v>-2.694136291600634E-2</v>
      </c>
      <c r="N127" s="32" t="str">
        <f>tbl_financials[[#This Row],[Company ]]&amp;tbl_financials[[#This Row],[Year]]</f>
        <v>NVDA2016</v>
      </c>
      <c r="O127" s="32" t="str">
        <f>tbl_financials[[#This Row],[Company ]]&amp;(tbl_financials[[#This Row],[Year]]-1)</f>
        <v>NVDA2015</v>
      </c>
      <c r="P12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7" s="4"/>
    </row>
    <row r="128" spans="1:17" x14ac:dyDescent="0.3">
      <c r="A128" s="7">
        <v>2015</v>
      </c>
      <c r="B128" s="3" t="s">
        <v>39</v>
      </c>
      <c r="C128" s="3" t="s">
        <v>40</v>
      </c>
      <c r="D128" s="5">
        <v>4682</v>
      </c>
      <c r="E128" s="5">
        <v>631</v>
      </c>
      <c r="F128" s="5">
        <v>1007</v>
      </c>
      <c r="G128" s="23">
        <f>VLOOKUP(tbl_financials[[#This Row],[Industry]],tbl_tax[[Industry]:[Tax Rate]],2,FALSE)</f>
        <v>0.26</v>
      </c>
      <c r="H128" s="5">
        <f>tbl_financials[[#This Row],[Net Income]]*tbl_financials[[#This Row],[Tax Rate]]</f>
        <v>164.06</v>
      </c>
      <c r="I128" s="5">
        <f>tbl_financials[[#This Row],[Net Income]]-tbl_financials[[#This Row],[Tax Amount]]</f>
        <v>466.94</v>
      </c>
      <c r="J128" s="29">
        <f>tbl_financials[[#This Row],[Net Income]]/tbl_financials[[#This Row],[Revenue]]</f>
        <v>0.13477146518581803</v>
      </c>
      <c r="K128" s="29">
        <f>tbl_financials[[#This Row],[EBITDA]]/tbl_financials[[#This Row],[Revenue]]</f>
        <v>0.2150790260572405</v>
      </c>
      <c r="L12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0.13365617433414043</v>
      </c>
      <c r="M128" s="35">
        <f>IFERROR((tbl_financials[[#This Row],[Net Income]]-INDEX(tbl_financials[Net Income],MATCH(tbl_financials[[#This Row],[PreviousKey]],tbl_financials[Key],0)))/INDEX(tbl_financials[Net Income],MATCH(tbl_financials[[#This Row],[PreviousKey]],tbl_financials[Key],0)),"")</f>
        <v>0.43409090909090908</v>
      </c>
      <c r="N128" s="32" t="str">
        <f>tbl_financials[[#This Row],[Company ]]&amp;tbl_financials[[#This Row],[Year]]</f>
        <v>NVDA2015</v>
      </c>
      <c r="O128" s="32" t="str">
        <f>tbl_financials[[#This Row],[Company ]]&amp;(tbl_financials[[#This Row],[Year]]-1)</f>
        <v>NVDA2014</v>
      </c>
      <c r="P12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8" s="4"/>
    </row>
    <row r="129" spans="1:17" x14ac:dyDescent="0.3">
      <c r="A129" s="7">
        <v>2014</v>
      </c>
      <c r="B129" s="3" t="s">
        <v>39</v>
      </c>
      <c r="C129" s="3" t="s">
        <v>40</v>
      </c>
      <c r="D129" s="5">
        <v>4130</v>
      </c>
      <c r="E129" s="5">
        <v>440</v>
      </c>
      <c r="F129" s="5">
        <v>740</v>
      </c>
      <c r="G129" s="23">
        <f>VLOOKUP(tbl_financials[[#This Row],[Industry]],tbl_tax[[Industry]:[Tax Rate]],2,FALSE)</f>
        <v>0.26</v>
      </c>
      <c r="H129" s="5">
        <f>tbl_financials[[#This Row],[Net Income]]*tbl_financials[[#This Row],[Tax Rate]]</f>
        <v>114.4</v>
      </c>
      <c r="I129" s="5">
        <f>tbl_financials[[#This Row],[Net Income]]-tbl_financials[[#This Row],[Tax Amount]]</f>
        <v>325.60000000000002</v>
      </c>
      <c r="J129" s="29">
        <f>tbl_financials[[#This Row],[Net Income]]/tbl_financials[[#This Row],[Revenue]]</f>
        <v>0.10653753026634383</v>
      </c>
      <c r="K129" s="29">
        <f>tbl_financials[[#This Row],[EBITDA]]/tbl_financials[[#This Row],[Revenue]]</f>
        <v>0.1791767554479419</v>
      </c>
      <c r="L12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-3.5082575203397741E-2</v>
      </c>
      <c r="M129" s="35">
        <f>IFERROR((tbl_financials[[#This Row],[Net Income]]-INDEX(tbl_financials[Net Income],MATCH(tbl_financials[[#This Row],[PreviousKey]],tbl_financials[Key],0)))/INDEX(tbl_financials[Net Income],MATCH(tbl_financials[[#This Row],[PreviousKey]],tbl_financials[Key],0)),"")</f>
        <v>-0.21782783679622275</v>
      </c>
      <c r="N129" s="32" t="str">
        <f>tbl_financials[[#This Row],[Company ]]&amp;tbl_financials[[#This Row],[Year]]</f>
        <v>NVDA2014</v>
      </c>
      <c r="O129" s="32" t="str">
        <f>tbl_financials[[#This Row],[Company ]]&amp;(tbl_financials[[#This Row],[Year]]-1)</f>
        <v>NVDA2013</v>
      </c>
      <c r="P129"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29" s="4"/>
    </row>
    <row r="130" spans="1:17" x14ac:dyDescent="0.3">
      <c r="A130" s="7">
        <v>2013</v>
      </c>
      <c r="B130" s="3" t="s">
        <v>39</v>
      </c>
      <c r="C130" s="3" t="s">
        <v>40</v>
      </c>
      <c r="D130" s="5">
        <v>4280.1589999999997</v>
      </c>
      <c r="E130" s="5">
        <v>562.53599999999994</v>
      </c>
      <c r="F130" s="5">
        <v>874.4742</v>
      </c>
      <c r="G130" s="23">
        <f>VLOOKUP(tbl_financials[[#This Row],[Industry]],tbl_tax[[Industry]:[Tax Rate]],2,FALSE)</f>
        <v>0.26</v>
      </c>
      <c r="H130" s="5">
        <f>tbl_financials[[#This Row],[Net Income]]*tbl_financials[[#This Row],[Tax Rate]]</f>
        <v>146.25935999999999</v>
      </c>
      <c r="I130" s="5">
        <f>tbl_financials[[#This Row],[Net Income]]-tbl_financials[[#This Row],[Tax Amount]]</f>
        <v>416.27663999999993</v>
      </c>
      <c r="J130" s="29">
        <f>tbl_financials[[#This Row],[Net Income]]/tbl_financials[[#This Row],[Revenue]]</f>
        <v>0.13142876234270737</v>
      </c>
      <c r="K130" s="29">
        <f>tbl_financials[[#This Row],[EBITDA]]/tbl_financials[[#This Row],[Revenue]]</f>
        <v>0.20430881189226852</v>
      </c>
      <c r="L13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7.0593782282331069E-2</v>
      </c>
      <c r="M130" s="35">
        <f>IFERROR((tbl_financials[[#This Row],[Net Income]]-INDEX(tbl_financials[Net Income],MATCH(tbl_financials[[#This Row],[PreviousKey]],tbl_financials[Key],0)))/INDEX(tbl_financials[Net Income],MATCH(tbl_financials[[#This Row],[PreviousKey]],tbl_financials[Key],0)),"")</f>
        <v>-3.1929649451892285E-2</v>
      </c>
      <c r="N130" s="32" t="str">
        <f>tbl_financials[[#This Row],[Company ]]&amp;tbl_financials[[#This Row],[Year]]</f>
        <v>NVDA2013</v>
      </c>
      <c r="O130" s="32" t="str">
        <f>tbl_financials[[#This Row],[Company ]]&amp;(tbl_financials[[#This Row],[Year]]-1)</f>
        <v>NVDA2012</v>
      </c>
      <c r="P13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30" s="4"/>
    </row>
    <row r="131" spans="1:17" x14ac:dyDescent="0.3">
      <c r="A131" s="7">
        <v>2012</v>
      </c>
      <c r="B131" s="3" t="s">
        <v>39</v>
      </c>
      <c r="C131" s="3" t="s">
        <v>40</v>
      </c>
      <c r="D131" s="5">
        <v>3997.93</v>
      </c>
      <c r="E131" s="5">
        <v>581.09</v>
      </c>
      <c r="F131" s="5">
        <v>852.50379999999996</v>
      </c>
      <c r="G131" s="23">
        <f>VLOOKUP(tbl_financials[[#This Row],[Industry]],tbl_tax[[Industry]:[Tax Rate]],2,FALSE)</f>
        <v>0.26</v>
      </c>
      <c r="H131" s="5">
        <f>tbl_financials[[#This Row],[Net Income]]*tbl_financials[[#This Row],[Tax Rate]]</f>
        <v>151.08340000000001</v>
      </c>
      <c r="I131" s="5">
        <f>tbl_financials[[#This Row],[Net Income]]-tbl_financials[[#This Row],[Tax Amount]]</f>
        <v>430.00660000000005</v>
      </c>
      <c r="J131" s="29">
        <f>tbl_financials[[#This Row],[Net Income]]/tbl_financials[[#This Row],[Revenue]]</f>
        <v>0.14534771744377717</v>
      </c>
      <c r="K131" s="29">
        <f>tbl_financials[[#This Row],[EBITDA]]/tbl_financials[[#This Row],[Revenue]]</f>
        <v>0.21323629978513881</v>
      </c>
      <c r="L13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0.12830407960468579</v>
      </c>
      <c r="M131" s="35">
        <f>IFERROR((tbl_financials[[#This Row],[Net Income]]-INDEX(tbl_financials[Net Income],MATCH(tbl_financials[[#This Row],[PreviousKey]],tbl_financials[Key],0)))/INDEX(tbl_financials[Net Income],MATCH(tbl_financials[[#This Row],[PreviousKey]],tbl_financials[Key],0)),"")</f>
        <v>1.2954737582264784</v>
      </c>
      <c r="N131" s="32" t="str">
        <f>tbl_financials[[#This Row],[Company ]]&amp;tbl_financials[[#This Row],[Year]]</f>
        <v>NVDA2012</v>
      </c>
      <c r="O131" s="32" t="str">
        <f>tbl_financials[[#This Row],[Company ]]&amp;(tbl_financials[[#This Row],[Year]]-1)</f>
        <v>NVDA2011</v>
      </c>
      <c r="P131"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31" s="4"/>
    </row>
    <row r="132" spans="1:17" x14ac:dyDescent="0.3">
      <c r="A132" s="7">
        <v>2011</v>
      </c>
      <c r="B132" s="3" t="s">
        <v>39</v>
      </c>
      <c r="C132" s="3" t="s">
        <v>40</v>
      </c>
      <c r="D132" s="5">
        <v>3543.3090000000002</v>
      </c>
      <c r="E132" s="5">
        <v>253.14599999999999</v>
      </c>
      <c r="F132" s="5">
        <v>442.73610000000002</v>
      </c>
      <c r="G132" s="23">
        <f>VLOOKUP(tbl_financials[[#This Row],[Industry]],tbl_tax[[Industry]:[Tax Rate]],2,FALSE)</f>
        <v>0.26</v>
      </c>
      <c r="H132" s="5">
        <f>tbl_financials[[#This Row],[Net Income]]*tbl_financials[[#This Row],[Tax Rate]]</f>
        <v>65.817959999999999</v>
      </c>
      <c r="I132" s="5">
        <f>tbl_financials[[#This Row],[Net Income]]-tbl_financials[[#This Row],[Tax Amount]]</f>
        <v>187.32803999999999</v>
      </c>
      <c r="J132" s="29">
        <f>tbl_financials[[#This Row],[Net Income]]/tbl_financials[[#This Row],[Revenue]]</f>
        <v>7.1443388087237089E-2</v>
      </c>
      <c r="K132" s="29">
        <f>tbl_financials[[#This Row],[EBITDA]]/tbl_financials[[#This Row],[Revenue]]</f>
        <v>0.12494989852705479</v>
      </c>
      <c r="L13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6.5193923242380381E-2</v>
      </c>
      <c r="M132" s="35">
        <f>IFERROR((tbl_financials[[#This Row],[Net Income]]-INDEX(tbl_financials[Net Income],MATCH(tbl_financials[[#This Row],[PreviousKey]],tbl_financials[Key],0)))/INDEX(tbl_financials[Net Income],MATCH(tbl_financials[[#This Row],[PreviousKey]],tbl_financials[Key],0)),"")</f>
        <v>-4.7234471295983056</v>
      </c>
      <c r="N132" s="32" t="str">
        <f>tbl_financials[[#This Row],[Company ]]&amp;tbl_financials[[#This Row],[Year]]</f>
        <v>NVDA2011</v>
      </c>
      <c r="O132" s="32" t="str">
        <f>tbl_financials[[#This Row],[Company ]]&amp;(tbl_financials[[#This Row],[Year]]-1)</f>
        <v>NVDA2010</v>
      </c>
      <c r="P132"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132" s="4"/>
    </row>
    <row r="133" spans="1:17" x14ac:dyDescent="0.3">
      <c r="A133" s="7">
        <v>2010</v>
      </c>
      <c r="B133" s="3" t="s">
        <v>39</v>
      </c>
      <c r="C133" s="3" t="s">
        <v>40</v>
      </c>
      <c r="D133" s="5">
        <v>3326.4450000000002</v>
      </c>
      <c r="E133" s="5">
        <v>-67.986999999999995</v>
      </c>
      <c r="F133" s="5">
        <v>97.718900000000005</v>
      </c>
      <c r="G133" s="23">
        <f>VLOOKUP(tbl_financials[[#This Row],[Industry]],tbl_tax[[Industry]:[Tax Rate]],2,FALSE)</f>
        <v>0.26</v>
      </c>
      <c r="H133" s="5">
        <f>tbl_financials[[#This Row],[Net Income]]*tbl_financials[[#This Row],[Tax Rate]]</f>
        <v>-17.67662</v>
      </c>
      <c r="I133" s="5">
        <f>tbl_financials[[#This Row],[Net Income]]-tbl_financials[[#This Row],[Tax Amount]]</f>
        <v>-50.310379999999995</v>
      </c>
      <c r="J133" s="29">
        <f>tbl_financials[[#This Row],[Net Income]]/tbl_financials[[#This Row],[Revenue]]</f>
        <v>-2.0438335820974041E-2</v>
      </c>
      <c r="K133" s="29">
        <f>tbl_financials[[#This Row],[EBITDA]]/tbl_financials[[#This Row],[Revenue]]</f>
        <v>2.9376376281585896E-2</v>
      </c>
      <c r="L13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-2.8735197565797531E-2</v>
      </c>
      <c r="M133" s="35">
        <f>IFERROR((tbl_financials[[#This Row],[Net Income]]-INDEX(tbl_financials[Net Income],MATCH(tbl_financials[[#This Row],[PreviousKey]],tbl_financials[Key],0)))/INDEX(tbl_financials[Net Income],MATCH(tbl_financials[[#This Row],[PreviousKey]],tbl_financials[Key],0)),"")</f>
        <v>1.2631403748210779</v>
      </c>
      <c r="N133" s="32" t="str">
        <f>tbl_financials[[#This Row],[Company ]]&amp;tbl_financials[[#This Row],[Year]]</f>
        <v>NVDA2010</v>
      </c>
      <c r="O133" s="32" t="str">
        <f>tbl_financials[[#This Row],[Company ]]&amp;(tbl_financials[[#This Row],[Year]]-1)</f>
        <v>NVDA2009</v>
      </c>
      <c r="P133"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133" s="4"/>
    </row>
    <row r="134" spans="1:17" x14ac:dyDescent="0.3">
      <c r="A134" s="7">
        <v>2009</v>
      </c>
      <c r="B134" s="3" t="s">
        <v>39</v>
      </c>
      <c r="C134" s="3" t="s">
        <v>40</v>
      </c>
      <c r="D134" s="5">
        <v>3424.8589999999999</v>
      </c>
      <c r="E134" s="5">
        <v>-30.041</v>
      </c>
      <c r="F134" s="5">
        <v>114.3228</v>
      </c>
      <c r="G134" s="23">
        <f>VLOOKUP(tbl_financials[[#This Row],[Industry]],tbl_tax[[Industry]:[Tax Rate]],2,FALSE)</f>
        <v>0.26</v>
      </c>
      <c r="H134" s="5">
        <f>tbl_financials[[#This Row],[Net Income]]*tbl_financials[[#This Row],[Tax Rate]]</f>
        <v>-7.8106600000000004</v>
      </c>
      <c r="I134" s="5">
        <f>tbl_financials[[#This Row],[Net Income]]-tbl_financials[[#This Row],[Tax Amount]]</f>
        <v>-22.230339999999998</v>
      </c>
      <c r="J134" s="29">
        <f>tbl_financials[[#This Row],[Net Income]]/tbl_financials[[#This Row],[Revenue]]</f>
        <v>-8.7714559927868571E-3</v>
      </c>
      <c r="K134" s="29">
        <f>tbl_financials[[#This Row],[EBITDA]]/tbl_financials[[#This Row],[Revenue]]</f>
        <v>3.3380293904070213E-2</v>
      </c>
      <c r="L134"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134" s="35" t="str">
        <f>IFERROR((tbl_financials[[#This Row],[Net Income]]-INDEX(tbl_financials[Net Income],MATCH(tbl_financials[[#This Row],[PreviousKey]],tbl_financials[Key],0)))/INDEX(tbl_financials[Net Income],MATCH(tbl_financials[[#This Row],[PreviousKey]],tbl_financials[Key],0)),"")</f>
        <v/>
      </c>
      <c r="N134" s="32" t="str">
        <f>tbl_financials[[#This Row],[Company ]]&amp;tbl_financials[[#This Row],[Year]]</f>
        <v>NVDA2009</v>
      </c>
      <c r="O134" s="32" t="str">
        <f>tbl_financials[[#This Row],[Company ]]&amp;(tbl_financials[[#This Row],[Year]]-1)</f>
        <v>NVDA2008</v>
      </c>
      <c r="P134"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134" s="4"/>
    </row>
    <row r="135" spans="1:17" x14ac:dyDescent="0.3">
      <c r="A135" s="7">
        <v>2022</v>
      </c>
      <c r="B135" s="3" t="s">
        <v>41</v>
      </c>
      <c r="C135" s="3" t="s">
        <v>40</v>
      </c>
      <c r="D135" s="5">
        <v>63054</v>
      </c>
      <c r="E135" s="5">
        <v>8014</v>
      </c>
      <c r="F135" s="5">
        <v>15369</v>
      </c>
      <c r="G135" s="23">
        <f>VLOOKUP(tbl_financials[[#This Row],[Industry]],tbl_tax[[Industry]:[Tax Rate]],2,FALSE)</f>
        <v>0.26</v>
      </c>
      <c r="H135" s="5">
        <f>tbl_financials[[#This Row],[Net Income]]*tbl_financials[[#This Row],[Tax Rate]]</f>
        <v>2083.64</v>
      </c>
      <c r="I135" s="5">
        <f>tbl_financials[[#This Row],[Net Income]]-tbl_financials[[#This Row],[Tax Amount]]</f>
        <v>5930.3600000000006</v>
      </c>
      <c r="J135" s="29">
        <f>tbl_financials[[#This Row],[Net Income]]/tbl_financials[[#This Row],[Revenue]]</f>
        <v>0.1270974085704317</v>
      </c>
      <c r="K135" s="29">
        <f>tbl_financials[[#This Row],[EBITDA]]/tbl_financials[[#This Row],[Revenue]]</f>
        <v>0.24374345798839089</v>
      </c>
      <c r="L13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-0.20209050415063778</v>
      </c>
      <c r="M135" s="35">
        <f>IFERROR((tbl_financials[[#This Row],[Net Income]]-INDEX(tbl_financials[Net Income],MATCH(tbl_financials[[#This Row],[PreviousKey]],tbl_financials[Key],0)))/INDEX(tbl_financials[Net Income],MATCH(tbl_financials[[#This Row],[PreviousKey]],tbl_financials[Key],0)),"")</f>
        <v>-0.59663780954298373</v>
      </c>
      <c r="N135" s="32" t="str">
        <f>tbl_financials[[#This Row],[Company ]]&amp;tbl_financials[[#This Row],[Year]]</f>
        <v>INTC2022</v>
      </c>
      <c r="O135" s="32" t="str">
        <f>tbl_financials[[#This Row],[Company ]]&amp;(tbl_financials[[#This Row],[Year]]-1)</f>
        <v>INTC2021</v>
      </c>
      <c r="P135"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35" s="4"/>
    </row>
    <row r="136" spans="1:17" x14ac:dyDescent="0.3">
      <c r="A136" s="7">
        <v>2021</v>
      </c>
      <c r="B136" s="3" t="s">
        <v>41</v>
      </c>
      <c r="C136" s="3" t="s">
        <v>40</v>
      </c>
      <c r="D136" s="5">
        <v>79024</v>
      </c>
      <c r="E136" s="5">
        <v>19868</v>
      </c>
      <c r="F136" s="5">
        <v>31248</v>
      </c>
      <c r="G136" s="23">
        <f>VLOOKUP(tbl_financials[[#This Row],[Industry]],tbl_tax[[Industry]:[Tax Rate]],2,FALSE)</f>
        <v>0.26</v>
      </c>
      <c r="H136" s="5">
        <f>tbl_financials[[#This Row],[Net Income]]*tbl_financials[[#This Row],[Tax Rate]]</f>
        <v>5165.68</v>
      </c>
      <c r="I136" s="5">
        <f>tbl_financials[[#This Row],[Net Income]]-tbl_financials[[#This Row],[Tax Amount]]</f>
        <v>14702.32</v>
      </c>
      <c r="J136" s="29">
        <f>tbl_financials[[#This Row],[Net Income]]/tbl_financials[[#This Row],[Revenue]]</f>
        <v>0.25141729094958493</v>
      </c>
      <c r="K136" s="29">
        <f>tbl_financials[[#This Row],[EBITDA]]/tbl_financials[[#This Row],[Revenue]]</f>
        <v>0.39542417493419718</v>
      </c>
      <c r="L13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1.4858669269395251E-2</v>
      </c>
      <c r="M136" s="35">
        <f>IFERROR((tbl_financials[[#This Row],[Net Income]]-INDEX(tbl_financials[Net Income],MATCH(tbl_financials[[#This Row],[PreviousKey]],tbl_financials[Key],0)))/INDEX(tbl_financials[Net Income],MATCH(tbl_financials[[#This Row],[PreviousKey]],tbl_financials[Key],0)),"")</f>
        <v>-4.9332503947557296E-2</v>
      </c>
      <c r="N136" s="32" t="str">
        <f>tbl_financials[[#This Row],[Company ]]&amp;tbl_financials[[#This Row],[Year]]</f>
        <v>INTC2021</v>
      </c>
      <c r="O136" s="32" t="str">
        <f>tbl_financials[[#This Row],[Company ]]&amp;(tbl_financials[[#This Row],[Year]]-1)</f>
        <v>INTC2020</v>
      </c>
      <c r="P13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36" s="4"/>
    </row>
    <row r="137" spans="1:17" x14ac:dyDescent="0.3">
      <c r="A137" s="7">
        <v>2020</v>
      </c>
      <c r="B137" s="3" t="s">
        <v>41</v>
      </c>
      <c r="C137" s="3" t="s">
        <v>40</v>
      </c>
      <c r="D137" s="5">
        <v>77867</v>
      </c>
      <c r="E137" s="5">
        <v>20899</v>
      </c>
      <c r="F137" s="5">
        <v>35917</v>
      </c>
      <c r="G137" s="23">
        <f>VLOOKUP(tbl_financials[[#This Row],[Industry]],tbl_tax[[Industry]:[Tax Rate]],2,FALSE)</f>
        <v>0.26</v>
      </c>
      <c r="H137" s="5">
        <f>tbl_financials[[#This Row],[Net Income]]*tbl_financials[[#This Row],[Tax Rate]]</f>
        <v>5433.74</v>
      </c>
      <c r="I137" s="5">
        <f>tbl_financials[[#This Row],[Net Income]]-tbl_financials[[#This Row],[Tax Amount]]</f>
        <v>15465.26</v>
      </c>
      <c r="J137" s="29">
        <f>tbl_financials[[#This Row],[Net Income]]/tbl_financials[[#This Row],[Revenue]]</f>
        <v>0.26839354283586114</v>
      </c>
      <c r="K137" s="29">
        <f>tbl_financials[[#This Row],[EBITDA]]/tbl_financials[[#This Row],[Revenue]]</f>
        <v>0.46126086789012033</v>
      </c>
      <c r="L13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8.2012089210032654E-2</v>
      </c>
      <c r="M137" s="35">
        <f>IFERROR((tbl_financials[[#This Row],[Net Income]]-INDEX(tbl_financials[Net Income],MATCH(tbl_financials[[#This Row],[PreviousKey]],tbl_financials[Key],0)))/INDEX(tbl_financials[Net Income],MATCH(tbl_financials[[#This Row],[PreviousKey]],tbl_financials[Key],0)),"")</f>
        <v>-7.0790573926263782E-3</v>
      </c>
      <c r="N137" s="32" t="str">
        <f>tbl_financials[[#This Row],[Company ]]&amp;tbl_financials[[#This Row],[Year]]</f>
        <v>INTC2020</v>
      </c>
      <c r="O137" s="32" t="str">
        <f>tbl_financials[[#This Row],[Company ]]&amp;(tbl_financials[[#This Row],[Year]]-1)</f>
        <v>INTC2019</v>
      </c>
      <c r="P137"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37" s="4"/>
    </row>
    <row r="138" spans="1:17" x14ac:dyDescent="0.3">
      <c r="A138" s="7">
        <v>2019</v>
      </c>
      <c r="B138" s="3" t="s">
        <v>41</v>
      </c>
      <c r="C138" s="3" t="s">
        <v>40</v>
      </c>
      <c r="D138" s="5">
        <v>71965</v>
      </c>
      <c r="E138" s="5">
        <v>21048</v>
      </c>
      <c r="F138" s="5">
        <v>32861</v>
      </c>
      <c r="G138" s="23">
        <f>VLOOKUP(tbl_financials[[#This Row],[Industry]],tbl_tax[[Industry]:[Tax Rate]],2,FALSE)</f>
        <v>0.26</v>
      </c>
      <c r="H138" s="5">
        <f>tbl_financials[[#This Row],[Net Income]]*tbl_financials[[#This Row],[Tax Rate]]</f>
        <v>5472.4800000000005</v>
      </c>
      <c r="I138" s="5">
        <f>tbl_financials[[#This Row],[Net Income]]-tbl_financials[[#This Row],[Tax Amount]]</f>
        <v>15575.52</v>
      </c>
      <c r="J138" s="29">
        <f>tbl_financials[[#This Row],[Net Income]]/tbl_financials[[#This Row],[Revenue]]</f>
        <v>0.2924755089279511</v>
      </c>
      <c r="K138" s="29">
        <f>tbl_financials[[#This Row],[EBITDA]]/tbl_financials[[#This Row],[Revenue]]</f>
        <v>0.45662474814145765</v>
      </c>
      <c r="L13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1.5766147244805781E-2</v>
      </c>
      <c r="M138" s="35">
        <f>IFERROR((tbl_financials[[#This Row],[Net Income]]-INDEX(tbl_financials[Net Income],MATCH(tbl_financials[[#This Row],[PreviousKey]],tbl_financials[Key],0)))/INDEX(tbl_financials[Net Income],MATCH(tbl_financials[[#This Row],[PreviousKey]],tbl_financials[Key],0)),"")</f>
        <v>-2.374958438227331E-4</v>
      </c>
      <c r="N138" s="32" t="str">
        <f>tbl_financials[[#This Row],[Company ]]&amp;tbl_financials[[#This Row],[Year]]</f>
        <v>INTC2019</v>
      </c>
      <c r="O138" s="32" t="str">
        <f>tbl_financials[[#This Row],[Company ]]&amp;(tbl_financials[[#This Row],[Year]]-1)</f>
        <v>INTC2018</v>
      </c>
      <c r="P138"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38" s="4"/>
    </row>
    <row r="139" spans="1:17" x14ac:dyDescent="0.3">
      <c r="A139" s="7">
        <v>2018</v>
      </c>
      <c r="B139" s="3" t="s">
        <v>41</v>
      </c>
      <c r="C139" s="3" t="s">
        <v>40</v>
      </c>
      <c r="D139" s="5">
        <v>70848</v>
      </c>
      <c r="E139" s="5">
        <v>21053</v>
      </c>
      <c r="F139" s="5">
        <v>32401</v>
      </c>
      <c r="G139" s="23">
        <f>VLOOKUP(tbl_financials[[#This Row],[Industry]],tbl_tax[[Industry]:[Tax Rate]],2,FALSE)</f>
        <v>0.26</v>
      </c>
      <c r="H139" s="5">
        <f>tbl_financials[[#This Row],[Net Income]]*tbl_financials[[#This Row],[Tax Rate]]</f>
        <v>5473.78</v>
      </c>
      <c r="I139" s="5">
        <f>tbl_financials[[#This Row],[Net Income]]-tbl_financials[[#This Row],[Tax Amount]]</f>
        <v>15579.220000000001</v>
      </c>
      <c r="J139" s="29">
        <f>tbl_financials[[#This Row],[Net Income]]/tbl_financials[[#This Row],[Revenue]]</f>
        <v>0.29715729448961159</v>
      </c>
      <c r="K139" s="29">
        <f>tbl_financials[[#This Row],[EBITDA]]/tbl_financials[[#This Row],[Revenue]]</f>
        <v>0.45733118789521227</v>
      </c>
      <c r="L13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0.12885390608817579</v>
      </c>
      <c r="M139" s="35">
        <f>IFERROR((tbl_financials[[#This Row],[Net Income]]-INDEX(tbl_financials[Net Income],MATCH(tbl_financials[[#This Row],[PreviousKey]],tbl_financials[Key],0)))/INDEX(tbl_financials[Net Income],MATCH(tbl_financials[[#This Row],[PreviousKey]],tbl_financials[Key],0)),"")</f>
        <v>1.192792417456515</v>
      </c>
      <c r="N139" s="32" t="str">
        <f>tbl_financials[[#This Row],[Company ]]&amp;tbl_financials[[#This Row],[Year]]</f>
        <v>INTC2018</v>
      </c>
      <c r="O139" s="32" t="str">
        <f>tbl_financials[[#This Row],[Company ]]&amp;(tbl_financials[[#This Row],[Year]]-1)</f>
        <v>INTC2017</v>
      </c>
      <c r="P139"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39" s="4"/>
    </row>
    <row r="140" spans="1:17" x14ac:dyDescent="0.3">
      <c r="A140" s="7">
        <v>2017</v>
      </c>
      <c r="B140" s="3" t="s">
        <v>41</v>
      </c>
      <c r="C140" s="3" t="s">
        <v>40</v>
      </c>
      <c r="D140" s="5">
        <v>62761</v>
      </c>
      <c r="E140" s="5">
        <v>9601</v>
      </c>
      <c r="F140" s="5">
        <v>26179</v>
      </c>
      <c r="G140" s="23">
        <f>VLOOKUP(tbl_financials[[#This Row],[Industry]],tbl_tax[[Industry]:[Tax Rate]],2,FALSE)</f>
        <v>0.26</v>
      </c>
      <c r="H140" s="5">
        <f>tbl_financials[[#This Row],[Net Income]]*tbl_financials[[#This Row],[Tax Rate]]</f>
        <v>2496.2600000000002</v>
      </c>
      <c r="I140" s="5">
        <f>tbl_financials[[#This Row],[Net Income]]-tbl_financials[[#This Row],[Tax Amount]]</f>
        <v>7104.74</v>
      </c>
      <c r="J140" s="29">
        <f>tbl_financials[[#This Row],[Net Income]]/tbl_financials[[#This Row],[Revenue]]</f>
        <v>0.15297716734914996</v>
      </c>
      <c r="K140" s="29">
        <f>tbl_financials[[#This Row],[EBITDA]]/tbl_financials[[#This Row],[Revenue]]</f>
        <v>0.41712209811825818</v>
      </c>
      <c r="L14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5.6813780793776414E-2</v>
      </c>
      <c r="M140" s="35">
        <f>IFERROR((tbl_financials[[#This Row],[Net Income]]-INDEX(tbl_financials[Net Income],MATCH(tbl_financials[[#This Row],[PreviousKey]],tbl_financials[Key],0)))/INDEX(tbl_financials[Net Income],MATCH(tbl_financials[[#This Row],[PreviousKey]],tbl_financials[Key],0)),"")</f>
        <v>-6.9309810003877467E-2</v>
      </c>
      <c r="N140" s="32" t="str">
        <f>tbl_financials[[#This Row],[Company ]]&amp;tbl_financials[[#This Row],[Year]]</f>
        <v>INTC2017</v>
      </c>
      <c r="O140" s="32" t="str">
        <f>tbl_financials[[#This Row],[Company ]]&amp;(tbl_financials[[#This Row],[Year]]-1)</f>
        <v>INTC2016</v>
      </c>
      <c r="P14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40" s="4"/>
    </row>
    <row r="141" spans="1:17" x14ac:dyDescent="0.3">
      <c r="A141" s="7">
        <v>2016</v>
      </c>
      <c r="B141" s="3" t="s">
        <v>41</v>
      </c>
      <c r="C141" s="3" t="s">
        <v>40</v>
      </c>
      <c r="D141" s="5">
        <v>59387</v>
      </c>
      <c r="E141" s="5">
        <v>10316</v>
      </c>
      <c r="F141" s="5">
        <v>20923</v>
      </c>
      <c r="G141" s="23">
        <f>VLOOKUP(tbl_financials[[#This Row],[Industry]],tbl_tax[[Industry]:[Tax Rate]],2,FALSE)</f>
        <v>0.26</v>
      </c>
      <c r="H141" s="5">
        <f>tbl_financials[[#This Row],[Net Income]]*tbl_financials[[#This Row],[Tax Rate]]</f>
        <v>2682.1600000000003</v>
      </c>
      <c r="I141" s="5">
        <f>tbl_financials[[#This Row],[Net Income]]-tbl_financials[[#This Row],[Tax Amount]]</f>
        <v>7633.84</v>
      </c>
      <c r="J141" s="29">
        <f>tbl_financials[[#This Row],[Net Income]]/tbl_financials[[#This Row],[Revenue]]</f>
        <v>0.17370805058346103</v>
      </c>
      <c r="K141" s="29">
        <f>tbl_financials[[#This Row],[EBITDA]]/tbl_financials[[#This Row],[Revenue]]</f>
        <v>0.35231616347011974</v>
      </c>
      <c r="L14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7.2838948604462106E-2</v>
      </c>
      <c r="M141" s="35">
        <f>IFERROR((tbl_financials[[#This Row],[Net Income]]-INDEX(tbl_financials[Net Income],MATCH(tbl_financials[[#This Row],[PreviousKey]],tbl_financials[Key],0)))/INDEX(tbl_financials[Net Income],MATCH(tbl_financials[[#This Row],[PreviousKey]],tbl_financials[Key],0)),"")</f>
        <v>-9.6672504378283716E-2</v>
      </c>
      <c r="N141" s="32" t="str">
        <f>tbl_financials[[#This Row],[Company ]]&amp;tbl_financials[[#This Row],[Year]]</f>
        <v>INTC2016</v>
      </c>
      <c r="O141" s="32" t="str">
        <f>tbl_financials[[#This Row],[Company ]]&amp;(tbl_financials[[#This Row],[Year]]-1)</f>
        <v>INTC2015</v>
      </c>
      <c r="P14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41" s="4"/>
    </row>
    <row r="142" spans="1:17" x14ac:dyDescent="0.3">
      <c r="A142" s="7">
        <v>2015</v>
      </c>
      <c r="B142" s="3" t="s">
        <v>41</v>
      </c>
      <c r="C142" s="3" t="s">
        <v>40</v>
      </c>
      <c r="D142" s="5">
        <v>55355</v>
      </c>
      <c r="E142" s="5">
        <v>11420</v>
      </c>
      <c r="F142" s="5">
        <v>22713</v>
      </c>
      <c r="G142" s="23">
        <f>VLOOKUP(tbl_financials[[#This Row],[Industry]],tbl_tax[[Industry]:[Tax Rate]],2,FALSE)</f>
        <v>0.26</v>
      </c>
      <c r="H142" s="5">
        <f>tbl_financials[[#This Row],[Net Income]]*tbl_financials[[#This Row],[Tax Rate]]</f>
        <v>2969.2000000000003</v>
      </c>
      <c r="I142" s="5">
        <f>tbl_financials[[#This Row],[Net Income]]-tbl_financials[[#This Row],[Tax Amount]]</f>
        <v>8450.7999999999993</v>
      </c>
      <c r="J142" s="29">
        <f>tbl_financials[[#This Row],[Net Income]]/tbl_financials[[#This Row],[Revenue]]</f>
        <v>0.20630476018426519</v>
      </c>
      <c r="K142" s="29">
        <f>tbl_financials[[#This Row],[EBITDA]]/tbl_financials[[#This Row],[Revenue]]</f>
        <v>0.41031523800921327</v>
      </c>
      <c r="L14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-9.2178270986218013E-3</v>
      </c>
      <c r="M142" s="35">
        <f>IFERROR((tbl_financials[[#This Row],[Net Income]]-INDEX(tbl_financials[Net Income],MATCH(tbl_financials[[#This Row],[PreviousKey]],tbl_financials[Key],0)))/INDEX(tbl_financials[Net Income],MATCH(tbl_financials[[#This Row],[PreviousKey]],tbl_financials[Key],0)),"")</f>
        <v>-2.4265208475734792E-2</v>
      </c>
      <c r="N142" s="32" t="str">
        <f>tbl_financials[[#This Row],[Company ]]&amp;tbl_financials[[#This Row],[Year]]</f>
        <v>INTC2015</v>
      </c>
      <c r="O142" s="32" t="str">
        <f>tbl_financials[[#This Row],[Company ]]&amp;(tbl_financials[[#This Row],[Year]]-1)</f>
        <v>INTC2014</v>
      </c>
      <c r="P14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42" s="4"/>
    </row>
    <row r="143" spans="1:17" x14ac:dyDescent="0.3">
      <c r="A143" s="7">
        <v>2014</v>
      </c>
      <c r="B143" s="3" t="s">
        <v>41</v>
      </c>
      <c r="C143" s="3" t="s">
        <v>40</v>
      </c>
      <c r="D143" s="5">
        <v>55870</v>
      </c>
      <c r="E143" s="5">
        <v>11704</v>
      </c>
      <c r="F143" s="5">
        <v>23896</v>
      </c>
      <c r="G143" s="23">
        <f>VLOOKUP(tbl_financials[[#This Row],[Industry]],tbl_tax[[Industry]:[Tax Rate]],2,FALSE)</f>
        <v>0.26</v>
      </c>
      <c r="H143" s="5">
        <f>tbl_financials[[#This Row],[Net Income]]*tbl_financials[[#This Row],[Tax Rate]]</f>
        <v>3043.04</v>
      </c>
      <c r="I143" s="5">
        <f>tbl_financials[[#This Row],[Net Income]]-tbl_financials[[#This Row],[Tax Amount]]</f>
        <v>8660.9599999999991</v>
      </c>
      <c r="J143" s="29">
        <f>tbl_financials[[#This Row],[Net Income]]/tbl_financials[[#This Row],[Revenue]]</f>
        <v>0.20948630749955252</v>
      </c>
      <c r="K143" s="29">
        <f>tbl_financials[[#This Row],[EBITDA]]/tbl_financials[[#This Row],[Revenue]]</f>
        <v>0.42770717737605157</v>
      </c>
      <c r="L14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5.9990893223040145E-2</v>
      </c>
      <c r="M143" s="35">
        <f>IFERROR((tbl_financials[[#This Row],[Net Income]]-INDEX(tbl_financials[Net Income],MATCH(tbl_financials[[#This Row],[PreviousKey]],tbl_financials[Key],0)))/INDEX(tbl_financials[Net Income],MATCH(tbl_financials[[#This Row],[PreviousKey]],tbl_financials[Key],0)),"")</f>
        <v>0.21663201663201664</v>
      </c>
      <c r="N143" s="32" t="str">
        <f>tbl_financials[[#This Row],[Company ]]&amp;tbl_financials[[#This Row],[Year]]</f>
        <v>INTC2014</v>
      </c>
      <c r="O143" s="32" t="str">
        <f>tbl_financials[[#This Row],[Company ]]&amp;(tbl_financials[[#This Row],[Year]]-1)</f>
        <v>INTC2013</v>
      </c>
      <c r="P143"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43" s="4"/>
    </row>
    <row r="144" spans="1:17" x14ac:dyDescent="0.3">
      <c r="A144" s="7">
        <v>2013</v>
      </c>
      <c r="B144" s="3" t="s">
        <v>41</v>
      </c>
      <c r="C144" s="3" t="s">
        <v>40</v>
      </c>
      <c r="D144" s="5">
        <v>52708</v>
      </c>
      <c r="E144" s="5">
        <v>9620</v>
      </c>
      <c r="F144" s="5">
        <v>20323</v>
      </c>
      <c r="G144" s="23">
        <f>VLOOKUP(tbl_financials[[#This Row],[Industry]],tbl_tax[[Industry]:[Tax Rate]],2,FALSE)</f>
        <v>0.26</v>
      </c>
      <c r="H144" s="5">
        <f>tbl_financials[[#This Row],[Net Income]]*tbl_financials[[#This Row],[Tax Rate]]</f>
        <v>2501.2000000000003</v>
      </c>
      <c r="I144" s="5">
        <f>tbl_financials[[#This Row],[Net Income]]-tbl_financials[[#This Row],[Tax Amount]]</f>
        <v>7118.7999999999993</v>
      </c>
      <c r="J144" s="29">
        <f>tbl_financials[[#This Row],[Net Income]]/tbl_financials[[#This Row],[Revenue]]</f>
        <v>0.18251498823707976</v>
      </c>
      <c r="K144" s="29">
        <f>tbl_financials[[#This Row],[EBITDA]]/tbl_financials[[#This Row],[Revenue]]</f>
        <v>0.38557714198983079</v>
      </c>
      <c r="L14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-1.1867044112408841E-2</v>
      </c>
      <c r="M144" s="35">
        <f>IFERROR((tbl_financials[[#This Row],[Net Income]]-INDEX(tbl_financials[Net Income],MATCH(tbl_financials[[#This Row],[PreviousKey]],tbl_financials[Key],0)))/INDEX(tbl_financials[Net Income],MATCH(tbl_financials[[#This Row],[PreviousKey]],tbl_financials[Key],0)),"")</f>
        <v>-0.12585188550658791</v>
      </c>
      <c r="N144" s="32" t="str">
        <f>tbl_financials[[#This Row],[Company ]]&amp;tbl_financials[[#This Row],[Year]]</f>
        <v>INTC2013</v>
      </c>
      <c r="O144" s="32" t="str">
        <f>tbl_financials[[#This Row],[Company ]]&amp;(tbl_financials[[#This Row],[Year]]-1)</f>
        <v>INTC2012</v>
      </c>
      <c r="P14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44" s="4"/>
    </row>
    <row r="145" spans="1:17" x14ac:dyDescent="0.3">
      <c r="A145" s="7">
        <v>2012</v>
      </c>
      <c r="B145" s="3" t="s">
        <v>41</v>
      </c>
      <c r="C145" s="3" t="s">
        <v>40</v>
      </c>
      <c r="D145" s="5">
        <v>53341</v>
      </c>
      <c r="E145" s="5">
        <v>11005</v>
      </c>
      <c r="F145" s="5">
        <v>22160</v>
      </c>
      <c r="G145" s="23">
        <f>VLOOKUP(tbl_financials[[#This Row],[Industry]],tbl_tax[[Industry]:[Tax Rate]],2,FALSE)</f>
        <v>0.26</v>
      </c>
      <c r="H145" s="5">
        <f>tbl_financials[[#This Row],[Net Income]]*tbl_financials[[#This Row],[Tax Rate]]</f>
        <v>2861.3</v>
      </c>
      <c r="I145" s="5">
        <f>tbl_financials[[#This Row],[Net Income]]-tbl_financials[[#This Row],[Tax Amount]]</f>
        <v>8143.7</v>
      </c>
      <c r="J145" s="29">
        <f>tbl_financials[[#This Row],[Net Income]]/tbl_financials[[#This Row],[Revenue]]</f>
        <v>0.20631409234922479</v>
      </c>
      <c r="K145" s="29">
        <f>tbl_financials[[#This Row],[EBITDA]]/tbl_financials[[#This Row],[Revenue]]</f>
        <v>0.4154402804596839</v>
      </c>
      <c r="L14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-1.2185410840941499E-2</v>
      </c>
      <c r="M145" s="35">
        <f>IFERROR((tbl_financials[[#This Row],[Net Income]]-INDEX(tbl_financials[Net Income],MATCH(tbl_financials[[#This Row],[PreviousKey]],tbl_financials[Key],0)))/INDEX(tbl_financials[Net Income],MATCH(tbl_financials[[#This Row],[PreviousKey]],tbl_financials[Key],0)),"")</f>
        <v>-0.14966774841600988</v>
      </c>
      <c r="N145" s="32" t="str">
        <f>tbl_financials[[#This Row],[Company ]]&amp;tbl_financials[[#This Row],[Year]]</f>
        <v>INTC2012</v>
      </c>
      <c r="O145" s="32" t="str">
        <f>tbl_financials[[#This Row],[Company ]]&amp;(tbl_financials[[#This Row],[Year]]-1)</f>
        <v>INTC2011</v>
      </c>
      <c r="P145"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45" s="4"/>
    </row>
    <row r="146" spans="1:17" x14ac:dyDescent="0.3">
      <c r="A146" s="7">
        <v>2011</v>
      </c>
      <c r="B146" s="3" t="s">
        <v>41</v>
      </c>
      <c r="C146" s="3" t="s">
        <v>40</v>
      </c>
      <c r="D146" s="5">
        <v>53999</v>
      </c>
      <c r="E146" s="5">
        <v>12942</v>
      </c>
      <c r="F146" s="5">
        <v>23541</v>
      </c>
      <c r="G146" s="23">
        <f>VLOOKUP(tbl_financials[[#This Row],[Industry]],tbl_tax[[Industry]:[Tax Rate]],2,FALSE)</f>
        <v>0.26</v>
      </c>
      <c r="H146" s="5">
        <f>tbl_financials[[#This Row],[Net Income]]*tbl_financials[[#This Row],[Tax Rate]]</f>
        <v>3364.92</v>
      </c>
      <c r="I146" s="5">
        <f>tbl_financials[[#This Row],[Net Income]]-tbl_financials[[#This Row],[Tax Amount]]</f>
        <v>9577.08</v>
      </c>
      <c r="J146" s="29">
        <f>tbl_financials[[#This Row],[Net Income]]/tbl_financials[[#This Row],[Revenue]]</f>
        <v>0.23967110502046335</v>
      </c>
      <c r="K146" s="29">
        <f>tbl_financials[[#This Row],[EBITDA]]/tbl_financials[[#This Row],[Revenue]]</f>
        <v>0.43595251763921555</v>
      </c>
      <c r="L14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0.2378561767874745</v>
      </c>
      <c r="M146" s="35">
        <f>IFERROR((tbl_financials[[#This Row],[Net Income]]-INDEX(tbl_financials[Net Income],MATCH(tbl_financials[[#This Row],[PreviousKey]],tbl_financials[Key],0)))/INDEX(tbl_financials[Net Income],MATCH(tbl_financials[[#This Row],[PreviousKey]],tbl_financials[Key],0)),"")</f>
        <v>0.12892533147243546</v>
      </c>
      <c r="N146" s="32" t="str">
        <f>tbl_financials[[#This Row],[Company ]]&amp;tbl_financials[[#This Row],[Year]]</f>
        <v>INTC2011</v>
      </c>
      <c r="O146" s="32" t="str">
        <f>tbl_financials[[#This Row],[Company ]]&amp;(tbl_financials[[#This Row],[Year]]-1)</f>
        <v>INTC2010</v>
      </c>
      <c r="P146"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46" s="4"/>
    </row>
    <row r="147" spans="1:17" x14ac:dyDescent="0.3">
      <c r="A147" s="7">
        <v>2010</v>
      </c>
      <c r="B147" s="3" t="s">
        <v>41</v>
      </c>
      <c r="C147" s="3" t="s">
        <v>40</v>
      </c>
      <c r="D147" s="5">
        <v>43623</v>
      </c>
      <c r="E147" s="5">
        <v>11464</v>
      </c>
      <c r="F147" s="5">
        <v>20226</v>
      </c>
      <c r="G147" s="23">
        <f>VLOOKUP(tbl_financials[[#This Row],[Industry]],tbl_tax[[Industry]:[Tax Rate]],2,FALSE)</f>
        <v>0.26</v>
      </c>
      <c r="H147" s="5">
        <f>tbl_financials[[#This Row],[Net Income]]*tbl_financials[[#This Row],[Tax Rate]]</f>
        <v>2980.6400000000003</v>
      </c>
      <c r="I147" s="5">
        <f>tbl_financials[[#This Row],[Net Income]]-tbl_financials[[#This Row],[Tax Amount]]</f>
        <v>8483.36</v>
      </c>
      <c r="J147" s="29">
        <f>tbl_financials[[#This Row],[Net Income]]/tbl_financials[[#This Row],[Revenue]]</f>
        <v>0.26279714829333151</v>
      </c>
      <c r="K147" s="29">
        <f>tbl_financials[[#This Row],[EBITDA]]/tbl_financials[[#This Row],[Revenue]]</f>
        <v>0.46365449418884536</v>
      </c>
      <c r="L14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0.24186523187291828</v>
      </c>
      <c r="M147" s="35">
        <f>IFERROR((tbl_financials[[#This Row],[Net Income]]-INDEX(tbl_financials[Net Income],MATCH(tbl_financials[[#This Row],[PreviousKey]],tbl_financials[Key],0)))/INDEX(tbl_financials[Net Income],MATCH(tbl_financials[[#This Row],[PreviousKey]],tbl_financials[Key],0)),"")</f>
        <v>1.6239414053559167</v>
      </c>
      <c r="N147" s="32" t="str">
        <f>tbl_financials[[#This Row],[Company ]]&amp;tbl_financials[[#This Row],[Year]]</f>
        <v>INTC2010</v>
      </c>
      <c r="O147" s="32" t="str">
        <f>tbl_financials[[#This Row],[Company ]]&amp;(tbl_financials[[#This Row],[Year]]-1)</f>
        <v>INTC2009</v>
      </c>
      <c r="P147"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47" s="4"/>
    </row>
    <row r="148" spans="1:17" x14ac:dyDescent="0.3">
      <c r="A148" s="7">
        <v>2009</v>
      </c>
      <c r="B148" s="3" t="s">
        <v>41</v>
      </c>
      <c r="C148" s="3" t="s">
        <v>40</v>
      </c>
      <c r="D148" s="5">
        <v>35127</v>
      </c>
      <c r="E148" s="5">
        <v>4369</v>
      </c>
      <c r="F148" s="5">
        <v>10763</v>
      </c>
      <c r="G148" s="23">
        <f>VLOOKUP(tbl_financials[[#This Row],[Industry]],tbl_tax[[Industry]:[Tax Rate]],2,FALSE)</f>
        <v>0.26</v>
      </c>
      <c r="H148" s="5">
        <f>tbl_financials[[#This Row],[Net Income]]*tbl_financials[[#This Row],[Tax Rate]]</f>
        <v>1135.94</v>
      </c>
      <c r="I148" s="5">
        <f>tbl_financials[[#This Row],[Net Income]]-tbl_financials[[#This Row],[Tax Amount]]</f>
        <v>3233.06</v>
      </c>
      <c r="J148" s="29">
        <f>tbl_financials[[#This Row],[Net Income]]/tbl_financials[[#This Row],[Revenue]]</f>
        <v>0.12437725965781307</v>
      </c>
      <c r="K148" s="29">
        <f>tbl_financials[[#This Row],[EBITDA]]/tbl_financials[[#This Row],[Revenue]]</f>
        <v>0.30640248242092977</v>
      </c>
      <c r="L148"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148" s="35" t="str">
        <f>IFERROR((tbl_financials[[#This Row],[Net Income]]-INDEX(tbl_financials[Net Income],MATCH(tbl_financials[[#This Row],[PreviousKey]],tbl_financials[Key],0)))/INDEX(tbl_financials[Net Income],MATCH(tbl_financials[[#This Row],[PreviousKey]],tbl_financials[Key],0)),"")</f>
        <v/>
      </c>
      <c r="N148" s="32" t="str">
        <f>tbl_financials[[#This Row],[Company ]]&amp;tbl_financials[[#This Row],[Year]]</f>
        <v>INTC2009</v>
      </c>
      <c r="O148" s="32" t="str">
        <f>tbl_financials[[#This Row],[Company ]]&amp;(tbl_financials[[#This Row],[Year]]-1)</f>
        <v>INTC2008</v>
      </c>
      <c r="P148" s="5"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148" s="4"/>
    </row>
    <row r="149" spans="1:17" x14ac:dyDescent="0.3">
      <c r="A149" s="7">
        <v>2022</v>
      </c>
      <c r="B149" s="3" t="s">
        <v>42</v>
      </c>
      <c r="C149" s="3" t="s">
        <v>43</v>
      </c>
      <c r="D149" s="5">
        <v>513983</v>
      </c>
      <c r="E149" s="5">
        <v>-2722</v>
      </c>
      <c r="F149" s="5">
        <v>54169</v>
      </c>
      <c r="G149" s="23">
        <f>VLOOKUP(tbl_financials[[#This Row],[Industry]],tbl_tax[[Industry]:[Tax Rate]],2,FALSE)</f>
        <v>0.25</v>
      </c>
      <c r="H149" s="5">
        <f>tbl_financials[[#This Row],[Net Income]]*tbl_financials[[#This Row],[Tax Rate]]</f>
        <v>-680.5</v>
      </c>
      <c r="I149" s="5">
        <f>tbl_financials[[#This Row],[Net Income]]-tbl_financials[[#This Row],[Tax Amount]]</f>
        <v>-2041.5</v>
      </c>
      <c r="J149" s="29">
        <f>tbl_financials[[#This Row],[Net Income]]/tbl_financials[[#This Row],[Revenue]]</f>
        <v>-5.2958950004183018E-3</v>
      </c>
      <c r="K149" s="29">
        <f>tbl_financials[[#This Row],[EBITDA]]/tbl_financials[[#This Row],[Revenue]]</f>
        <v>0.10539064521589235</v>
      </c>
      <c r="L14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9.3995172639850841E-2</v>
      </c>
      <c r="M149" s="35">
        <f>IFERROR((tbl_financials[[#This Row],[Net Income]]-INDEX(tbl_financials[Net Income],MATCH(tbl_financials[[#This Row],[PreviousKey]],tbl_financials[Key],0)))/INDEX(tbl_financials[Net Income],MATCH(tbl_financials[[#This Row],[PreviousKey]],tbl_financials[Key],0)),"")</f>
        <v>-1.0815849418534949</v>
      </c>
      <c r="N149" s="32" t="str">
        <f>tbl_financials[[#This Row],[Company ]]&amp;tbl_financials[[#This Row],[Year]]</f>
        <v>AMZN2022</v>
      </c>
      <c r="O149" s="32" t="str">
        <f>tbl_financials[[#This Row],[Company ]]&amp;(tbl_financials[[#This Row],[Year]]-1)</f>
        <v>AMZN2021</v>
      </c>
      <c r="P149"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49" s="4"/>
    </row>
    <row r="150" spans="1:17" x14ac:dyDescent="0.3">
      <c r="A150" s="7">
        <v>2021</v>
      </c>
      <c r="B150" s="3" t="s">
        <v>42</v>
      </c>
      <c r="C150" s="3" t="s">
        <v>43</v>
      </c>
      <c r="D150" s="5">
        <v>469822</v>
      </c>
      <c r="E150" s="5">
        <v>33364</v>
      </c>
      <c r="F150" s="5">
        <v>59312</v>
      </c>
      <c r="G150" s="23">
        <f>VLOOKUP(tbl_financials[[#This Row],[Industry]],tbl_tax[[Industry]:[Tax Rate]],2,FALSE)</f>
        <v>0.25</v>
      </c>
      <c r="H150" s="5">
        <f>tbl_financials[[#This Row],[Net Income]]*tbl_financials[[#This Row],[Tax Rate]]</f>
        <v>8341</v>
      </c>
      <c r="I150" s="5">
        <f>tbl_financials[[#This Row],[Net Income]]-tbl_financials[[#This Row],[Tax Amount]]</f>
        <v>25023</v>
      </c>
      <c r="J150" s="29">
        <f>tbl_financials[[#This Row],[Net Income]]/tbl_financials[[#This Row],[Revenue]]</f>
        <v>7.1014128755145567E-2</v>
      </c>
      <c r="K150" s="29">
        <f>tbl_financials[[#This Row],[EBITDA]]/tbl_financials[[#This Row],[Revenue]]</f>
        <v>0.12624355607017126</v>
      </c>
      <c r="L15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0.21695366571345684</v>
      </c>
      <c r="M150" s="35">
        <f>IFERROR((tbl_financials[[#This Row],[Net Income]]-INDEX(tbl_financials[Net Income],MATCH(tbl_financials[[#This Row],[PreviousKey]],tbl_financials[Key],0)))/INDEX(tbl_financials[Net Income],MATCH(tbl_financials[[#This Row],[PreviousKey]],tbl_financials[Key],0)),"")</f>
        <v>0.56410857437532225</v>
      </c>
      <c r="N150" s="32" t="str">
        <f>tbl_financials[[#This Row],[Company ]]&amp;tbl_financials[[#This Row],[Year]]</f>
        <v>AMZN2021</v>
      </c>
      <c r="O150" s="32" t="str">
        <f>tbl_financials[[#This Row],[Company ]]&amp;(tbl_financials[[#This Row],[Year]]-1)</f>
        <v>AMZN2020</v>
      </c>
      <c r="P15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50" s="4"/>
    </row>
    <row r="151" spans="1:17" x14ac:dyDescent="0.3">
      <c r="A151" s="7">
        <v>2020</v>
      </c>
      <c r="B151" s="3" t="s">
        <v>42</v>
      </c>
      <c r="C151" s="3" t="s">
        <v>43</v>
      </c>
      <c r="D151" s="5">
        <v>386064</v>
      </c>
      <c r="E151" s="5">
        <v>21331</v>
      </c>
      <c r="F151" s="5">
        <v>48079</v>
      </c>
      <c r="G151" s="23">
        <f>VLOOKUP(tbl_financials[[#This Row],[Industry]],tbl_tax[[Industry]:[Tax Rate]],2,FALSE)</f>
        <v>0.25</v>
      </c>
      <c r="H151" s="5">
        <f>tbl_financials[[#This Row],[Net Income]]*tbl_financials[[#This Row],[Tax Rate]]</f>
        <v>5332.75</v>
      </c>
      <c r="I151" s="5">
        <f>tbl_financials[[#This Row],[Net Income]]-tbl_financials[[#This Row],[Tax Amount]]</f>
        <v>15998.25</v>
      </c>
      <c r="J151" s="29">
        <f>tbl_financials[[#This Row],[Net Income]]/tbl_financials[[#This Row],[Revenue]]</f>
        <v>5.5252496995316841E-2</v>
      </c>
      <c r="K151" s="29">
        <f>tbl_financials[[#This Row],[EBITDA]]/tbl_financials[[#This Row],[Revenue]]</f>
        <v>0.12453634630527581</v>
      </c>
      <c r="L15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0.37623430604373276</v>
      </c>
      <c r="M151" s="35">
        <f>IFERROR((tbl_financials[[#This Row],[Net Income]]-INDEX(tbl_financials[Net Income],MATCH(tbl_financials[[#This Row],[PreviousKey]],tbl_financials[Key],0)))/INDEX(tbl_financials[Net Income],MATCH(tbl_financials[[#This Row],[PreviousKey]],tbl_financials[Key],0)),"")</f>
        <v>0.84078356920952713</v>
      </c>
      <c r="N151" s="32" t="str">
        <f>tbl_financials[[#This Row],[Company ]]&amp;tbl_financials[[#This Row],[Year]]</f>
        <v>AMZN2020</v>
      </c>
      <c r="O151" s="32" t="str">
        <f>tbl_financials[[#This Row],[Company ]]&amp;(tbl_financials[[#This Row],[Year]]-1)</f>
        <v>AMZN2019</v>
      </c>
      <c r="P15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51" s="4"/>
    </row>
    <row r="152" spans="1:17" x14ac:dyDescent="0.3">
      <c r="A152" s="7">
        <v>2019</v>
      </c>
      <c r="B152" s="3" t="s">
        <v>42</v>
      </c>
      <c r="C152" s="3" t="s">
        <v>43</v>
      </c>
      <c r="D152" s="5">
        <v>280522</v>
      </c>
      <c r="E152" s="5">
        <v>11588</v>
      </c>
      <c r="F152" s="5">
        <v>36330</v>
      </c>
      <c r="G152" s="23">
        <f>VLOOKUP(tbl_financials[[#This Row],[Industry]],tbl_tax[[Industry]:[Tax Rate]],2,FALSE)</f>
        <v>0.25</v>
      </c>
      <c r="H152" s="5">
        <f>tbl_financials[[#This Row],[Net Income]]*tbl_financials[[#This Row],[Tax Rate]]</f>
        <v>2897</v>
      </c>
      <c r="I152" s="5">
        <f>tbl_financials[[#This Row],[Net Income]]-tbl_financials[[#This Row],[Tax Amount]]</f>
        <v>8691</v>
      </c>
      <c r="J152" s="29">
        <f>tbl_financials[[#This Row],[Net Income]]/tbl_financials[[#This Row],[Revenue]]</f>
        <v>4.1308703060722513E-2</v>
      </c>
      <c r="K152" s="29">
        <f>tbl_financials[[#This Row],[EBITDA]]/tbl_financials[[#This Row],[Revenue]]</f>
        <v>0.12950855904349748</v>
      </c>
      <c r="L152"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0.2045412582067698</v>
      </c>
      <c r="M152" s="35">
        <f>IFERROR((tbl_financials[[#This Row],[Net Income]]-INDEX(tbl_financials[Net Income],MATCH(tbl_financials[[#This Row],[PreviousKey]],tbl_financials[Key],0)))/INDEX(tbl_financials[Net Income],MATCH(tbl_financials[[#This Row],[PreviousKey]],tbl_financials[Key],0)),"")</f>
        <v>0.15040206492603991</v>
      </c>
      <c r="N152" s="32" t="str">
        <f>tbl_financials[[#This Row],[Company ]]&amp;tbl_financials[[#This Row],[Year]]</f>
        <v>AMZN2019</v>
      </c>
      <c r="O152" s="32" t="str">
        <f>tbl_financials[[#This Row],[Company ]]&amp;(tbl_financials[[#This Row],[Year]]-1)</f>
        <v>AMZN2018</v>
      </c>
      <c r="P152"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52" s="4"/>
    </row>
    <row r="153" spans="1:17" x14ac:dyDescent="0.3">
      <c r="A153" s="7">
        <v>2018</v>
      </c>
      <c r="B153" s="3" t="s">
        <v>42</v>
      </c>
      <c r="C153" s="3" t="s">
        <v>43</v>
      </c>
      <c r="D153" s="5">
        <v>232887</v>
      </c>
      <c r="E153" s="5">
        <v>10073</v>
      </c>
      <c r="F153" s="5">
        <v>27762</v>
      </c>
      <c r="G153" s="23">
        <f>VLOOKUP(tbl_financials[[#This Row],[Industry]],tbl_tax[[Industry]:[Tax Rate]],2,FALSE)</f>
        <v>0.25</v>
      </c>
      <c r="H153" s="5">
        <f>tbl_financials[[#This Row],[Net Income]]*tbl_financials[[#This Row],[Tax Rate]]</f>
        <v>2518.25</v>
      </c>
      <c r="I153" s="5">
        <f>tbl_financials[[#This Row],[Net Income]]-tbl_financials[[#This Row],[Tax Amount]]</f>
        <v>7554.75</v>
      </c>
      <c r="J153" s="29">
        <f>tbl_financials[[#This Row],[Net Income]]/tbl_financials[[#This Row],[Revenue]]</f>
        <v>4.3252736305590261E-2</v>
      </c>
      <c r="K153" s="29">
        <f>tbl_financials[[#This Row],[EBITDA]]/tbl_financials[[#This Row],[Revenue]]</f>
        <v>0.11920802792770743</v>
      </c>
      <c r="L153"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0.3093396152159491</v>
      </c>
      <c r="M153" s="35">
        <f>IFERROR((tbl_financials[[#This Row],[Net Income]]-INDEX(tbl_financials[Net Income],MATCH(tbl_financials[[#This Row],[PreviousKey]],tbl_financials[Key],0)))/INDEX(tbl_financials[Net Income],MATCH(tbl_financials[[#This Row],[PreviousKey]],tbl_financials[Key],0)),"")</f>
        <v>2.3211341905703922</v>
      </c>
      <c r="N153" s="32" t="str">
        <f>tbl_financials[[#This Row],[Company ]]&amp;tbl_financials[[#This Row],[Year]]</f>
        <v>AMZN2018</v>
      </c>
      <c r="O153" s="32" t="str">
        <f>tbl_financials[[#This Row],[Company ]]&amp;(tbl_financials[[#This Row],[Year]]-1)</f>
        <v>AMZN2017</v>
      </c>
      <c r="P153"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53" s="4"/>
    </row>
    <row r="154" spans="1:17" x14ac:dyDescent="0.3">
      <c r="A154" s="7">
        <v>2017</v>
      </c>
      <c r="B154" s="3" t="s">
        <v>42</v>
      </c>
      <c r="C154" s="3" t="s">
        <v>43</v>
      </c>
      <c r="D154" s="5">
        <v>177866</v>
      </c>
      <c r="E154" s="5">
        <v>3033</v>
      </c>
      <c r="F154" s="5">
        <v>15584</v>
      </c>
      <c r="G154" s="23">
        <f>VLOOKUP(tbl_financials[[#This Row],[Industry]],tbl_tax[[Industry]:[Tax Rate]],2,FALSE)</f>
        <v>0.25</v>
      </c>
      <c r="H154" s="5">
        <f>tbl_financials[[#This Row],[Net Income]]*tbl_financials[[#This Row],[Tax Rate]]</f>
        <v>758.25</v>
      </c>
      <c r="I154" s="5">
        <f>tbl_financials[[#This Row],[Net Income]]-tbl_financials[[#This Row],[Tax Amount]]</f>
        <v>2274.75</v>
      </c>
      <c r="J154" s="29">
        <f>tbl_financials[[#This Row],[Net Income]]/tbl_financials[[#This Row],[Revenue]]</f>
        <v>1.7052162864178651E-2</v>
      </c>
      <c r="K154" s="29">
        <f>tbl_financials[[#This Row],[EBITDA]]/tbl_financials[[#This Row],[Revenue]]</f>
        <v>8.7616520301800227E-2</v>
      </c>
      <c r="L154"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0.30796326119408474</v>
      </c>
      <c r="M154" s="35">
        <f>IFERROR((tbl_financials[[#This Row],[Net Income]]-INDEX(tbl_financials[Net Income],MATCH(tbl_financials[[#This Row],[PreviousKey]],tbl_financials[Key],0)))/INDEX(tbl_financials[Net Income],MATCH(tbl_financials[[#This Row],[PreviousKey]],tbl_financials[Key],0)),"")</f>
        <v>0.27920708561788277</v>
      </c>
      <c r="N154" s="32" t="str">
        <f>tbl_financials[[#This Row],[Company ]]&amp;tbl_financials[[#This Row],[Year]]</f>
        <v>AMZN2017</v>
      </c>
      <c r="O154" s="32" t="str">
        <f>tbl_financials[[#This Row],[Company ]]&amp;(tbl_financials[[#This Row],[Year]]-1)</f>
        <v>AMZN2016</v>
      </c>
      <c r="P154"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54" s="4"/>
    </row>
    <row r="155" spans="1:17" x14ac:dyDescent="0.3">
      <c r="A155" s="7">
        <v>2016</v>
      </c>
      <c r="B155" s="3" t="s">
        <v>42</v>
      </c>
      <c r="C155" s="3" t="s">
        <v>43</v>
      </c>
      <c r="D155" s="5">
        <v>135987</v>
      </c>
      <c r="E155" s="5">
        <v>2371</v>
      </c>
      <c r="F155" s="5">
        <v>12302</v>
      </c>
      <c r="G155" s="23">
        <f>VLOOKUP(tbl_financials[[#This Row],[Industry]],tbl_tax[[Industry]:[Tax Rate]],2,FALSE)</f>
        <v>0.25</v>
      </c>
      <c r="H155" s="5">
        <f>tbl_financials[[#This Row],[Net Income]]*tbl_financials[[#This Row],[Tax Rate]]</f>
        <v>592.75</v>
      </c>
      <c r="I155" s="5">
        <f>tbl_financials[[#This Row],[Net Income]]-tbl_financials[[#This Row],[Tax Amount]]</f>
        <v>1778.25</v>
      </c>
      <c r="J155" s="29">
        <f>tbl_financials[[#This Row],[Net Income]]/tbl_financials[[#This Row],[Revenue]]</f>
        <v>1.7435490157147373E-2</v>
      </c>
      <c r="K155" s="29">
        <f>tbl_financials[[#This Row],[EBITDA]]/tbl_financials[[#This Row],[Revenue]]</f>
        <v>9.0464529697691698E-2</v>
      </c>
      <c r="L155"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0.27083528026465803</v>
      </c>
      <c r="M155" s="35">
        <f>IFERROR((tbl_financials[[#This Row],[Net Income]]-INDEX(tbl_financials[Net Income],MATCH(tbl_financials[[#This Row],[PreviousKey]],tbl_financials[Key],0)))/INDEX(tbl_financials[Net Income],MATCH(tbl_financials[[#This Row],[PreviousKey]],tbl_financials[Key],0)),"")</f>
        <v>2.9781879194630871</v>
      </c>
      <c r="N155" s="32" t="str">
        <f>tbl_financials[[#This Row],[Company ]]&amp;tbl_financials[[#This Row],[Year]]</f>
        <v>AMZN2016</v>
      </c>
      <c r="O155" s="32" t="str">
        <f>tbl_financials[[#This Row],[Company ]]&amp;(tbl_financials[[#This Row],[Year]]-1)</f>
        <v>AMZN2015</v>
      </c>
      <c r="P155"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55" s="4"/>
    </row>
    <row r="156" spans="1:17" x14ac:dyDescent="0.3">
      <c r="A156" s="7">
        <v>2015</v>
      </c>
      <c r="B156" s="3" t="s">
        <v>42</v>
      </c>
      <c r="C156" s="3" t="s">
        <v>43</v>
      </c>
      <c r="D156" s="5">
        <v>107006</v>
      </c>
      <c r="E156" s="5">
        <v>596</v>
      </c>
      <c r="F156" s="5">
        <v>8514</v>
      </c>
      <c r="G156" s="23">
        <f>VLOOKUP(tbl_financials[[#This Row],[Industry]],tbl_tax[[Industry]:[Tax Rate]],2,FALSE)</f>
        <v>0.25</v>
      </c>
      <c r="H156" s="5">
        <f>tbl_financials[[#This Row],[Net Income]]*tbl_financials[[#This Row],[Tax Rate]]</f>
        <v>149</v>
      </c>
      <c r="I156" s="5">
        <f>tbl_financials[[#This Row],[Net Income]]-tbl_financials[[#This Row],[Tax Amount]]</f>
        <v>447</v>
      </c>
      <c r="J156" s="29">
        <f>tbl_financials[[#This Row],[Net Income]]/tbl_financials[[#This Row],[Revenue]]</f>
        <v>5.5697811337681999E-3</v>
      </c>
      <c r="K156" s="29">
        <f>tbl_financials[[#This Row],[EBITDA]]/tbl_financials[[#This Row],[Revenue]]</f>
        <v>7.9565631833728945E-2</v>
      </c>
      <c r="L156"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0.20247673843664316</v>
      </c>
      <c r="M156" s="35">
        <f>IFERROR((tbl_financials[[#This Row],[Net Income]]-INDEX(tbl_financials[Net Income],MATCH(tbl_financials[[#This Row],[PreviousKey]],tbl_financials[Key],0)))/INDEX(tbl_financials[Net Income],MATCH(tbl_financials[[#This Row],[PreviousKey]],tbl_financials[Key],0)),"")</f>
        <v>-3.4730290456431536</v>
      </c>
      <c r="N156" s="32" t="str">
        <f>tbl_financials[[#This Row],[Company ]]&amp;tbl_financials[[#This Row],[Year]]</f>
        <v>AMZN2015</v>
      </c>
      <c r="O156" s="32" t="str">
        <f>tbl_financials[[#This Row],[Company ]]&amp;(tbl_financials[[#This Row],[Year]]-1)</f>
        <v>AMZN2014</v>
      </c>
      <c r="P156"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156" s="4"/>
    </row>
    <row r="157" spans="1:17" x14ac:dyDescent="0.3">
      <c r="A157" s="7">
        <v>2014</v>
      </c>
      <c r="B157" s="3" t="s">
        <v>42</v>
      </c>
      <c r="C157" s="3" t="s">
        <v>43</v>
      </c>
      <c r="D157" s="5">
        <v>88988</v>
      </c>
      <c r="E157" s="5">
        <v>-241</v>
      </c>
      <c r="F157" s="5">
        <v>4924</v>
      </c>
      <c r="G157" s="23">
        <f>VLOOKUP(tbl_financials[[#This Row],[Industry]],tbl_tax[[Industry]:[Tax Rate]],2,FALSE)</f>
        <v>0.25</v>
      </c>
      <c r="H157" s="5">
        <f>tbl_financials[[#This Row],[Net Income]]*tbl_financials[[#This Row],[Tax Rate]]</f>
        <v>-60.25</v>
      </c>
      <c r="I157" s="5">
        <f>tbl_financials[[#This Row],[Net Income]]-tbl_financials[[#This Row],[Tax Amount]]</f>
        <v>-180.75</v>
      </c>
      <c r="J157" s="29">
        <f>tbl_financials[[#This Row],[Net Income]]/tbl_financials[[#This Row],[Revenue]]</f>
        <v>-2.7082303231896437E-3</v>
      </c>
      <c r="K157" s="29">
        <f>tbl_financials[[#This Row],[EBITDA]]/tbl_financials[[#This Row],[Revenue]]</f>
        <v>5.5333303366746078E-2</v>
      </c>
      <c r="L157"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0.19523988610111212</v>
      </c>
      <c r="M157" s="35">
        <f>IFERROR((tbl_financials[[#This Row],[Net Income]]-INDEX(tbl_financials[Net Income],MATCH(tbl_financials[[#This Row],[PreviousKey]],tbl_financials[Key],0)))/INDEX(tbl_financials[Net Income],MATCH(tbl_financials[[#This Row],[PreviousKey]],tbl_financials[Key],0)),"")</f>
        <v>-1.8795620437956204</v>
      </c>
      <c r="N157" s="32" t="str">
        <f>tbl_financials[[#This Row],[Company ]]&amp;tbl_financials[[#This Row],[Year]]</f>
        <v>AMZN2014</v>
      </c>
      <c r="O157" s="32" t="str">
        <f>tbl_financials[[#This Row],[Company ]]&amp;(tbl_financials[[#This Row],[Year]]-1)</f>
        <v>AMZN2013</v>
      </c>
      <c r="P157"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57" s="4"/>
    </row>
    <row r="158" spans="1:17" x14ac:dyDescent="0.3">
      <c r="A158" s="7">
        <v>2013</v>
      </c>
      <c r="B158" s="3" t="s">
        <v>42</v>
      </c>
      <c r="C158" s="3" t="s">
        <v>43</v>
      </c>
      <c r="D158" s="5">
        <v>74452</v>
      </c>
      <c r="E158" s="5">
        <v>274</v>
      </c>
      <c r="F158" s="5">
        <v>3998</v>
      </c>
      <c r="G158" s="23">
        <f>VLOOKUP(tbl_financials[[#This Row],[Industry]],tbl_tax[[Industry]:[Tax Rate]],2,FALSE)</f>
        <v>0.25</v>
      </c>
      <c r="H158" s="5">
        <f>tbl_financials[[#This Row],[Net Income]]*tbl_financials[[#This Row],[Tax Rate]]</f>
        <v>68.5</v>
      </c>
      <c r="I158" s="5">
        <f>tbl_financials[[#This Row],[Net Income]]-tbl_financials[[#This Row],[Tax Amount]]</f>
        <v>205.5</v>
      </c>
      <c r="J158" s="29">
        <f>tbl_financials[[#This Row],[Net Income]]/tbl_financials[[#This Row],[Revenue]]</f>
        <v>3.6802234997045076E-3</v>
      </c>
      <c r="K158" s="29">
        <f>tbl_financials[[#This Row],[EBITDA]]/tbl_financials[[#This Row],[Revenue]]</f>
        <v>5.3699027561381833E-2</v>
      </c>
      <c r="L158"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0.21866662301736697</v>
      </c>
      <c r="M158" s="35">
        <f>IFERROR((tbl_financials[[#This Row],[Net Income]]-INDEX(tbl_financials[Net Income],MATCH(tbl_financials[[#This Row],[PreviousKey]],tbl_financials[Key],0)))/INDEX(tbl_financials[Net Income],MATCH(tbl_financials[[#This Row],[PreviousKey]],tbl_financials[Key],0)),"")</f>
        <v>-8.0256410256410255</v>
      </c>
      <c r="N158" s="32" t="str">
        <f>tbl_financials[[#This Row],[Company ]]&amp;tbl_financials[[#This Row],[Year]]</f>
        <v>AMZN2013</v>
      </c>
      <c r="O158" s="32" t="str">
        <f>tbl_financials[[#This Row],[Company ]]&amp;(tbl_financials[[#This Row],[Year]]-1)</f>
        <v>AMZN2012</v>
      </c>
      <c r="P158"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negative NI base</v>
      </c>
      <c r="Q158" s="4"/>
    </row>
    <row r="159" spans="1:17" x14ac:dyDescent="0.3">
      <c r="A159" s="7">
        <v>2012</v>
      </c>
      <c r="B159" s="3" t="s">
        <v>42</v>
      </c>
      <c r="C159" s="3" t="s">
        <v>43</v>
      </c>
      <c r="D159" s="5">
        <v>61093</v>
      </c>
      <c r="E159" s="5">
        <v>-39</v>
      </c>
      <c r="F159" s="5">
        <v>2835</v>
      </c>
      <c r="G159" s="23">
        <f>VLOOKUP(tbl_financials[[#This Row],[Industry]],tbl_tax[[Industry]:[Tax Rate]],2,FALSE)</f>
        <v>0.25</v>
      </c>
      <c r="H159" s="5">
        <f>tbl_financials[[#This Row],[Net Income]]*tbl_financials[[#This Row],[Tax Rate]]</f>
        <v>-9.75</v>
      </c>
      <c r="I159" s="5">
        <f>tbl_financials[[#This Row],[Net Income]]-tbl_financials[[#This Row],[Tax Amount]]</f>
        <v>-29.25</v>
      </c>
      <c r="J159" s="29">
        <f>tbl_financials[[#This Row],[Net Income]]/tbl_financials[[#This Row],[Revenue]]</f>
        <v>-6.3837100813513828E-4</v>
      </c>
      <c r="K159" s="29">
        <f>tbl_financials[[#This Row],[EBITDA]]/tbl_financials[[#This Row],[Revenue]]</f>
        <v>4.6404661745208124E-2</v>
      </c>
      <c r="L159"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0.27073236682821306</v>
      </c>
      <c r="M159" s="35">
        <f>IFERROR((tbl_financials[[#This Row],[Net Income]]-INDEX(tbl_financials[Net Income],MATCH(tbl_financials[[#This Row],[PreviousKey]],tbl_financials[Key],0)))/INDEX(tbl_financials[Net Income],MATCH(tbl_financials[[#This Row],[PreviousKey]],tbl_financials[Key],0)),"")</f>
        <v>-1.0618066561014263</v>
      </c>
      <c r="N159" s="32" t="str">
        <f>tbl_financials[[#This Row],[Company ]]&amp;tbl_financials[[#This Row],[Year]]</f>
        <v>AMZN2012</v>
      </c>
      <c r="O159" s="32" t="str">
        <f>tbl_financials[[#This Row],[Company ]]&amp;(tbl_financials[[#This Row],[Year]]-1)</f>
        <v>AMZN2011</v>
      </c>
      <c r="P159" s="5" t="str">
        <f>TRIM(IF(COUNTIF(tbl_financials[Key],tbl_financials[[#This Row],[PreviousKey]])=0,"No prior year",IF(INDEX(tbl_financials[Net Income],MATCH(tbl_financials[[#This Row],[PreviousKey]],tbl_financials[Key],0))&lt;=0,"Review negative NI base",IF(ABS(tbl_financials[[#This Row],[Net Income Growth]])&gt;1,"Review high NI growth","OK"))))</f>
        <v>Review high NI growth</v>
      </c>
      <c r="Q159" s="4"/>
    </row>
    <row r="160" spans="1:17" x14ac:dyDescent="0.3">
      <c r="A160" s="7">
        <v>2011</v>
      </c>
      <c r="B160" s="3" t="s">
        <v>42</v>
      </c>
      <c r="C160" s="3" t="s">
        <v>43</v>
      </c>
      <c r="D160" s="5">
        <v>48077</v>
      </c>
      <c r="E160" s="5">
        <v>631</v>
      </c>
      <c r="F160" s="5">
        <v>1945</v>
      </c>
      <c r="G160" s="23">
        <f>VLOOKUP(tbl_financials[[#This Row],[Industry]],tbl_tax[[Industry]:[Tax Rate]],2,FALSE)</f>
        <v>0.25</v>
      </c>
      <c r="H160" s="5">
        <f>tbl_financials[[#This Row],[Net Income]]*tbl_financials[[#This Row],[Tax Rate]]</f>
        <v>157.75</v>
      </c>
      <c r="I160" s="5">
        <f>tbl_financials[[#This Row],[Net Income]]-tbl_financials[[#This Row],[Tax Amount]]</f>
        <v>473.25</v>
      </c>
      <c r="J160" s="29">
        <f>tbl_financials[[#This Row],[Net Income]]/tbl_financials[[#This Row],[Revenue]]</f>
        <v>1.3124779000353599E-2</v>
      </c>
      <c r="K160" s="29">
        <f>tbl_financials[[#This Row],[EBITDA]]/tbl_financials[[#This Row],[Revenue]]</f>
        <v>4.0455935270503569E-2</v>
      </c>
      <c r="L160"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0.40559583674424043</v>
      </c>
      <c r="M160" s="35">
        <f>IFERROR((tbl_financials[[#This Row],[Net Income]]-INDEX(tbl_financials[Net Income],MATCH(tbl_financials[[#This Row],[PreviousKey]],tbl_financials[Key],0)))/INDEX(tbl_financials[Net Income],MATCH(tbl_financials[[#This Row],[PreviousKey]],tbl_financials[Key],0)),"")</f>
        <v>-0.45225694444444442</v>
      </c>
      <c r="N160" s="32" t="str">
        <f>tbl_financials[[#This Row],[Company ]]&amp;tbl_financials[[#This Row],[Year]]</f>
        <v>AMZN2011</v>
      </c>
      <c r="O160" s="32" t="str">
        <f>tbl_financials[[#This Row],[Company ]]&amp;(tbl_financials[[#This Row],[Year]]-1)</f>
        <v>AMZN2010</v>
      </c>
      <c r="P160"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60" s="4"/>
    </row>
    <row r="161" spans="1:17" x14ac:dyDescent="0.3">
      <c r="A161" s="7">
        <v>2010</v>
      </c>
      <c r="B161" s="3" t="s">
        <v>42</v>
      </c>
      <c r="C161" s="3" t="s">
        <v>43</v>
      </c>
      <c r="D161" s="5">
        <v>34204</v>
      </c>
      <c r="E161" s="5">
        <v>1152</v>
      </c>
      <c r="F161" s="5">
        <v>1974</v>
      </c>
      <c r="G161" s="23">
        <f>VLOOKUP(tbl_financials[[#This Row],[Industry]],tbl_tax[[Industry]:[Tax Rate]],2,FALSE)</f>
        <v>0.25</v>
      </c>
      <c r="H161" s="5">
        <f>tbl_financials[[#This Row],[Net Income]]*tbl_financials[[#This Row],[Tax Rate]]</f>
        <v>288</v>
      </c>
      <c r="I161" s="5">
        <f>tbl_financials[[#This Row],[Net Income]]-tbl_financials[[#This Row],[Tax Amount]]</f>
        <v>864</v>
      </c>
      <c r="J161" s="29">
        <f>tbl_financials[[#This Row],[Net Income]]/tbl_financials[[#This Row],[Revenue]]</f>
        <v>3.3680271313296692E-2</v>
      </c>
      <c r="K161" s="29">
        <f>tbl_financials[[#This Row],[EBITDA]]/tbl_financials[[#This Row],[Revenue]]</f>
        <v>5.7712548239971934E-2</v>
      </c>
      <c r="L161" s="29">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0.3955689746623689</v>
      </c>
      <c r="M161" s="35">
        <f>IFERROR((tbl_financials[[#This Row],[Net Income]]-INDEX(tbl_financials[Net Income],MATCH(tbl_financials[[#This Row],[PreviousKey]],tbl_financials[Key],0)))/INDEX(tbl_financials[Net Income],MATCH(tbl_financials[[#This Row],[PreviousKey]],tbl_financials[Key],0)),"")</f>
        <v>0.27716186252771619</v>
      </c>
      <c r="N161" s="32" t="str">
        <f>tbl_financials[[#This Row],[Company ]]&amp;tbl_financials[[#This Row],[Year]]</f>
        <v>AMZN2010</v>
      </c>
      <c r="O161" s="32" t="str">
        <f>tbl_financials[[#This Row],[Company ]]&amp;(tbl_financials[[#This Row],[Year]]-1)</f>
        <v>AMZN2009</v>
      </c>
      <c r="P161" s="5" t="str">
        <f>TRIM(IF(COUNTIF(tbl_financials[Key],tbl_financials[[#This Row],[PreviousKey]])=0,"No prior year",IF(INDEX(tbl_financials[Net Income],MATCH(tbl_financials[[#This Row],[PreviousKey]],tbl_financials[Key],0))&lt;=0,"Review negative NI base",IF(ABS(tbl_financials[[#This Row],[Net Income Growth]])&gt;1,"Review high NI growth","OK"))))</f>
        <v>OK</v>
      </c>
      <c r="Q161" s="4"/>
    </row>
    <row r="162" spans="1:17" x14ac:dyDescent="0.3">
      <c r="A162" s="11">
        <v>2009</v>
      </c>
      <c r="B162" s="12" t="s">
        <v>42</v>
      </c>
      <c r="C162" s="12" t="s">
        <v>43</v>
      </c>
      <c r="D162" s="13">
        <v>24509</v>
      </c>
      <c r="E162" s="13">
        <v>902</v>
      </c>
      <c r="F162" s="13">
        <v>1507</v>
      </c>
      <c r="G162" s="24">
        <f>VLOOKUP(tbl_financials[[#This Row],[Industry]],tbl_tax[[Industry]:[Tax Rate]],2,FALSE)</f>
        <v>0.25</v>
      </c>
      <c r="H162" s="13">
        <f>tbl_financials[[#This Row],[Net Income]]*tbl_financials[[#This Row],[Tax Rate]]</f>
        <v>225.5</v>
      </c>
      <c r="I162" s="13">
        <f>tbl_financials[[#This Row],[Net Income]]-tbl_financials[[#This Row],[Tax Amount]]</f>
        <v>676.5</v>
      </c>
      <c r="J162" s="29">
        <f>tbl_financials[[#This Row],[Net Income]]/tbl_financials[[#This Row],[Revenue]]</f>
        <v>3.6802807132073935E-2</v>
      </c>
      <c r="K162" s="29">
        <f>tbl_financials[[#This Row],[EBITDA]]/tbl_financials[[#This Row],[Revenue]]</f>
        <v>6.1487616793830836E-2</v>
      </c>
      <c r="L162" s="29" t="str">
        <f>IF(COUNTIF(tbl_financials[Key],tbl_financials[[#This Row],[PreviousKey]])=0,"",IF(INDEX(tbl_financials[Revenue],MATCH(tbl_financials[[#This Row],[PreviousKey]],tbl_financials[Key],0))=0,"",(tbl_financials[[#This Row],[Revenue]]-INDEX(tbl_financials[Revenue],MATCH(tbl_financials[[#This Row],[PreviousKey]],tbl_financials[Key],0)))/INDEX(tbl_financials[Revenue],MATCH(tbl_financials[[#This Row],[PreviousKey]],tbl_financials[Key],0))))</f>
        <v/>
      </c>
      <c r="M162" s="36" t="str">
        <f>IFERROR((tbl_financials[[#This Row],[Net Income]]-INDEX(tbl_financials[Net Income],MATCH(tbl_financials[[#This Row],[PreviousKey]],tbl_financials[Key],0)))/INDEX(tbl_financials[Net Income],MATCH(tbl_financials[[#This Row],[PreviousKey]],tbl_financials[Key],0)),"")</f>
        <v/>
      </c>
      <c r="N162" s="33" t="str">
        <f>tbl_financials[[#This Row],[Company ]]&amp;tbl_financials[[#This Row],[Year]]</f>
        <v>AMZN2009</v>
      </c>
      <c r="O162" s="33" t="str">
        <f>tbl_financials[[#This Row],[Company ]]&amp;(tbl_financials[[#This Row],[Year]]-1)</f>
        <v>AMZN2008</v>
      </c>
      <c r="P162" s="13" t="str">
        <f>TRIM(IF(COUNTIF(tbl_financials[Key],tbl_financials[[#This Row],[PreviousKey]])=0,"No prior year",IF(INDEX(tbl_financials[Net Income],MATCH(tbl_financials[[#This Row],[PreviousKey]],tbl_financials[Key],0))&lt;=0,"Review negative NI base",IF(ABS(tbl_financials[[#This Row],[Net Income Growth]])&gt;1,"Review high NI growth","OK"))))</f>
        <v>No prior year</v>
      </c>
      <c r="Q162" s="4"/>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D27" sqref="D27"/>
    </sheetView>
  </sheetViews>
  <sheetFormatPr defaultRowHeight="14.4" x14ac:dyDescent="0.3"/>
  <cols>
    <col min="1" max="1" width="16.21875" bestFit="1" customWidth="1"/>
    <col min="2" max="2" width="12.5546875" bestFit="1" customWidth="1"/>
  </cols>
  <sheetData>
    <row r="1" spans="1:2" x14ac:dyDescent="0.3">
      <c r="A1" s="16" t="s">
        <v>44</v>
      </c>
      <c r="B1" s="17" t="s">
        <v>45</v>
      </c>
    </row>
    <row r="2" spans="1:2" x14ac:dyDescent="0.3">
      <c r="A2" s="14" t="s">
        <v>24</v>
      </c>
      <c r="B2" s="15">
        <v>0.25</v>
      </c>
    </row>
    <row r="3" spans="1:2" x14ac:dyDescent="0.3">
      <c r="A3" s="14" t="s">
        <v>46</v>
      </c>
      <c r="B3" s="15">
        <v>0.28000000000000003</v>
      </c>
    </row>
    <row r="4" spans="1:2" x14ac:dyDescent="0.3">
      <c r="A4" s="14" t="s">
        <v>38</v>
      </c>
      <c r="B4" s="15">
        <v>0.3</v>
      </c>
    </row>
    <row r="5" spans="1:2" x14ac:dyDescent="0.3">
      <c r="A5" s="14" t="s">
        <v>48</v>
      </c>
      <c r="B5" s="15">
        <v>0.3</v>
      </c>
    </row>
    <row r="6" spans="1:2" x14ac:dyDescent="0.3">
      <c r="A6" s="14" t="s">
        <v>47</v>
      </c>
      <c r="B6" s="15">
        <v>0.27</v>
      </c>
    </row>
    <row r="7" spans="1:2" x14ac:dyDescent="0.3">
      <c r="A7" s="14" t="s">
        <v>36</v>
      </c>
      <c r="B7" s="15">
        <v>0.24</v>
      </c>
    </row>
    <row r="8" spans="1:2" x14ac:dyDescent="0.3">
      <c r="A8" s="14" t="s">
        <v>40</v>
      </c>
      <c r="B8" s="15">
        <v>0.26</v>
      </c>
    </row>
    <row r="9" spans="1:2" x14ac:dyDescent="0.3">
      <c r="A9" s="18" t="s">
        <v>43</v>
      </c>
      <c r="B9" s="19">
        <v>0.25</v>
      </c>
    </row>
    <row r="10" spans="1:2" x14ac:dyDescent="0.3">
      <c r="A10" s="20"/>
      <c r="B10" s="2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8:H24"/>
  <sheetViews>
    <sheetView showGridLines="0" zoomScale="80" zoomScaleNormal="80" workbookViewId="0">
      <selection activeCell="F36" sqref="F36"/>
    </sheetView>
  </sheetViews>
  <sheetFormatPr defaultRowHeight="14.4" x14ac:dyDescent="0.3"/>
  <cols>
    <col min="1" max="1" width="5.109375" customWidth="1"/>
    <col min="2" max="2" width="21.6640625" bestFit="1" customWidth="1"/>
    <col min="3" max="3" width="12.33203125" bestFit="1" customWidth="1"/>
    <col min="4" max="4" width="9.21875" bestFit="1" customWidth="1"/>
    <col min="5" max="5" width="9" bestFit="1" customWidth="1"/>
    <col min="6" max="6" width="8.5546875" bestFit="1" customWidth="1"/>
    <col min="7" max="7" width="9.109375" bestFit="1" customWidth="1"/>
    <col min="8" max="8" width="20.109375" bestFit="1" customWidth="1"/>
    <col min="9" max="9" width="29.44140625" bestFit="1" customWidth="1"/>
    <col min="10" max="10" width="7.6640625" bestFit="1" customWidth="1"/>
    <col min="11" max="11" width="8.33203125" bestFit="1" customWidth="1"/>
    <col min="12" max="12" width="7.33203125" bestFit="1" customWidth="1"/>
    <col min="13" max="13" width="8.109375" bestFit="1" customWidth="1"/>
    <col min="14" max="14" width="10" bestFit="1" customWidth="1"/>
    <col min="15" max="15" width="10.109375" bestFit="1" customWidth="1"/>
    <col min="16" max="16" width="29.44140625" bestFit="1" customWidth="1"/>
  </cols>
  <sheetData>
    <row r="8" spans="2:8" ht="15" thickBot="1" x14ac:dyDescent="0.35"/>
    <row r="9" spans="2:8" ht="15" thickBot="1" x14ac:dyDescent="0.35">
      <c r="B9" s="40" t="s">
        <v>60</v>
      </c>
      <c r="C9" s="76" t="s">
        <v>51</v>
      </c>
      <c r="D9" s="77"/>
      <c r="E9" s="77"/>
      <c r="F9" s="77"/>
      <c r="G9" s="77"/>
      <c r="H9" s="78"/>
    </row>
    <row r="10" spans="2:8" ht="15" thickBot="1" x14ac:dyDescent="0.35">
      <c r="B10" s="43" t="s">
        <v>0</v>
      </c>
      <c r="C10" s="44" t="s">
        <v>23</v>
      </c>
      <c r="D10" s="44" t="s">
        <v>42</v>
      </c>
      <c r="E10" s="44" t="s">
        <v>26</v>
      </c>
      <c r="F10" s="44" t="s">
        <v>25</v>
      </c>
      <c r="G10" s="44" t="s">
        <v>39</v>
      </c>
      <c r="H10" s="45" t="s">
        <v>59</v>
      </c>
    </row>
    <row r="11" spans="2:8" x14ac:dyDescent="0.3">
      <c r="B11" s="72">
        <v>2010</v>
      </c>
      <c r="C11" s="41">
        <v>0.52021908868430256</v>
      </c>
      <c r="D11" s="41">
        <v>0.3955689746623689</v>
      </c>
      <c r="E11" s="41">
        <v>0.23973616337575579</v>
      </c>
      <c r="F11" s="41">
        <v>6.9254068484008419E-2</v>
      </c>
      <c r="G11" s="41">
        <v>-2.8735197565797531E-2</v>
      </c>
      <c r="H11" s="42">
        <f>IFERROR(AVERAGE(C11,D11,E11,F11,G11),"")</f>
        <v>0.23920861952812764</v>
      </c>
    </row>
    <row r="12" spans="2:8" x14ac:dyDescent="0.3">
      <c r="B12" s="73">
        <v>2011</v>
      </c>
      <c r="C12" s="38">
        <v>0.65962437715599842</v>
      </c>
      <c r="D12" s="38">
        <v>0.40559583674424043</v>
      </c>
      <c r="E12" s="38">
        <v>0.29275945568022921</v>
      </c>
      <c r="F12" s="38">
        <v>0.11937455988733116</v>
      </c>
      <c r="G12" s="38">
        <v>6.5193923242380381E-2</v>
      </c>
      <c r="H12" s="39">
        <f t="shared" ref="H12:H24" si="0">IFERROR(AVERAGE(C12,D12,E12,F12,G12),"")</f>
        <v>0.30850963054203595</v>
      </c>
    </row>
    <row r="13" spans="2:8" x14ac:dyDescent="0.3">
      <c r="B13" s="73">
        <v>2012</v>
      </c>
      <c r="C13" s="38">
        <v>0.44581474193756987</v>
      </c>
      <c r="D13" s="38">
        <v>0.27073236682821306</v>
      </c>
      <c r="E13" s="38">
        <v>0.21458910433979686</v>
      </c>
      <c r="F13" s="38">
        <v>5.404400726305706E-2</v>
      </c>
      <c r="G13" s="38">
        <v>0.12830407960468579</v>
      </c>
      <c r="H13" s="39">
        <f t="shared" si="0"/>
        <v>0.22269685999466451</v>
      </c>
    </row>
    <row r="14" spans="2:8" x14ac:dyDescent="0.3">
      <c r="B14" s="73">
        <v>2013</v>
      </c>
      <c r="C14" s="38">
        <v>9.202085516395328E-2</v>
      </c>
      <c r="D14" s="38">
        <v>0.21866662301736697</v>
      </c>
      <c r="E14" s="38">
        <v>0.20591237863550468</v>
      </c>
      <c r="F14" s="38">
        <v>5.5966252051598553E-2</v>
      </c>
      <c r="G14" s="38">
        <v>7.0593782282331069E-2</v>
      </c>
      <c r="H14" s="39">
        <f t="shared" si="0"/>
        <v>0.12863197823015091</v>
      </c>
    </row>
    <row r="15" spans="2:8" x14ac:dyDescent="0.3">
      <c r="B15" s="73">
        <v>2014</v>
      </c>
      <c r="C15" s="38">
        <v>6.9539523725937621E-2</v>
      </c>
      <c r="D15" s="38">
        <v>0.19523988610111212</v>
      </c>
      <c r="E15" s="38">
        <v>0.18880023055170303</v>
      </c>
      <c r="F15" s="38">
        <v>0.11540289534868785</v>
      </c>
      <c r="G15" s="38">
        <v>-3.5082575203397741E-2</v>
      </c>
      <c r="H15" s="39">
        <f t="shared" si="0"/>
        <v>0.10677999210480857</v>
      </c>
    </row>
    <row r="16" spans="2:8" x14ac:dyDescent="0.3">
      <c r="B16" s="73">
        <v>2015</v>
      </c>
      <c r="C16" s="38">
        <v>0.2785634180365984</v>
      </c>
      <c r="D16" s="38">
        <v>0.20247673843664316</v>
      </c>
      <c r="E16" s="38">
        <v>0.13617975485219921</v>
      </c>
      <c r="F16" s="38">
        <v>7.7700874091647179E-2</v>
      </c>
      <c r="G16" s="38">
        <v>0.13365617433414043</v>
      </c>
      <c r="H16" s="39">
        <f t="shared" si="0"/>
        <v>0.16571539195024568</v>
      </c>
    </row>
    <row r="17" spans="2:8" x14ac:dyDescent="0.3">
      <c r="B17" s="73">
        <v>2016</v>
      </c>
      <c r="C17" s="38">
        <v>-7.734206191301371E-2</v>
      </c>
      <c r="D17" s="38">
        <v>0.27083528026465803</v>
      </c>
      <c r="E17" s="38">
        <v>0.20380322447292271</v>
      </c>
      <c r="F17" s="38">
        <v>-2.592434280829237E-2</v>
      </c>
      <c r="G17" s="38">
        <v>7.0055531824006839E-2</v>
      </c>
      <c r="H17" s="39">
        <f t="shared" si="0"/>
        <v>8.8285526368056283E-2</v>
      </c>
    </row>
    <row r="18" spans="2:8" x14ac:dyDescent="0.3">
      <c r="B18" s="73">
        <v>2017</v>
      </c>
      <c r="C18" s="38">
        <v>6.3045181993980681E-2</v>
      </c>
      <c r="D18" s="38">
        <v>0.30796326119408474</v>
      </c>
      <c r="E18" s="38">
        <v>0.22801090038993266</v>
      </c>
      <c r="F18" s="38">
        <v>5.9426903920837264E-2</v>
      </c>
      <c r="G18" s="38">
        <v>0.37924151696606784</v>
      </c>
      <c r="H18" s="39">
        <f t="shared" si="0"/>
        <v>0.20753755289298065</v>
      </c>
    </row>
    <row r="19" spans="2:8" x14ac:dyDescent="0.3">
      <c r="B19" s="73">
        <v>2018</v>
      </c>
      <c r="C19" s="38">
        <v>0.15861957650261305</v>
      </c>
      <c r="D19" s="38">
        <v>0.3093396152159491</v>
      </c>
      <c r="E19" s="38">
        <v>0.23421586757475982</v>
      </c>
      <c r="F19" s="38">
        <v>0.14278613662486667</v>
      </c>
      <c r="G19" s="38">
        <v>0.4057887120115774</v>
      </c>
      <c r="H19" s="39">
        <f t="shared" si="0"/>
        <v>0.2501499815859532</v>
      </c>
    </row>
    <row r="20" spans="2:8" x14ac:dyDescent="0.3">
      <c r="B20" s="73">
        <v>2019</v>
      </c>
      <c r="C20" s="38">
        <v>-2.0410775805267418E-2</v>
      </c>
      <c r="D20" s="38">
        <v>0.2045412582067698</v>
      </c>
      <c r="E20" s="38">
        <v>0.18300089899794619</v>
      </c>
      <c r="F20" s="38">
        <v>0.14029539688292861</v>
      </c>
      <c r="G20" s="38">
        <v>0.20609429689108502</v>
      </c>
      <c r="H20" s="39">
        <f t="shared" si="0"/>
        <v>0.14270421503469244</v>
      </c>
    </row>
    <row r="21" spans="2:8" x14ac:dyDescent="0.3">
      <c r="B21" s="73">
        <v>2020</v>
      </c>
      <c r="C21" s="38">
        <v>5.5120803769784836E-2</v>
      </c>
      <c r="D21" s="38">
        <v>0.37623430604373276</v>
      </c>
      <c r="E21" s="38">
        <v>0.12770532012826136</v>
      </c>
      <c r="F21" s="38">
        <v>0.13645574247276368</v>
      </c>
      <c r="G21" s="38">
        <v>-6.8111983612154314E-2</v>
      </c>
      <c r="H21" s="39">
        <f t="shared" si="0"/>
        <v>0.12548083776047766</v>
      </c>
    </row>
    <row r="22" spans="2:8" x14ac:dyDescent="0.3">
      <c r="B22" s="73">
        <v>2021</v>
      </c>
      <c r="C22" s="38">
        <v>0.33259384733074693</v>
      </c>
      <c r="D22" s="38">
        <v>0.21695366571345684</v>
      </c>
      <c r="E22" s="38">
        <v>0.41150076427049148</v>
      </c>
      <c r="F22" s="38">
        <v>0.175317274411775</v>
      </c>
      <c r="G22" s="38">
        <v>0.52729437625938813</v>
      </c>
      <c r="H22" s="39">
        <f t="shared" si="0"/>
        <v>0.33273198559717165</v>
      </c>
    </row>
    <row r="23" spans="2:8" ht="15" thickBot="1" x14ac:dyDescent="0.35">
      <c r="B23" s="74">
        <v>2022</v>
      </c>
      <c r="C23" s="49">
        <v>7.7937876041846058E-2</v>
      </c>
      <c r="D23" s="49">
        <v>9.3995172639850841E-2</v>
      </c>
      <c r="E23" s="49">
        <v>9.7808156437157706E-2</v>
      </c>
      <c r="F23" s="49">
        <v>0.17956070629670173</v>
      </c>
      <c r="G23" s="49">
        <v>0.61403298350824587</v>
      </c>
      <c r="H23" s="50">
        <f t="shared" si="0"/>
        <v>0.21266697898476045</v>
      </c>
    </row>
    <row r="24" spans="2:8" ht="15" thickBot="1" x14ac:dyDescent="0.35">
      <c r="B24" s="43" t="s">
        <v>62</v>
      </c>
      <c r="C24" s="68">
        <f>IFERROR(AVERAGE(C11:C23),"")</f>
        <v>0.20425741943269621</v>
      </c>
      <c r="D24" s="68">
        <f>IFERROR(AVERAGE(D11:D23),"")</f>
        <v>0.26678022962064979</v>
      </c>
      <c r="E24" s="68">
        <f>IFERROR(AVERAGE(E11:E23),"")</f>
        <v>0.21261709382358929</v>
      </c>
      <c r="F24" s="68">
        <f>IFERROR(AVERAGE(F11:F23),"")</f>
        <v>9.9973882686762369E-2</v>
      </c>
      <c r="G24" s="68">
        <f>IFERROR(AVERAGE(G11:G23),"")</f>
        <v>0.18987120158019685</v>
      </c>
      <c r="H24" s="53">
        <f t="shared" si="0"/>
        <v>0.1946999654287789</v>
      </c>
    </row>
  </sheetData>
  <mergeCells count="1">
    <mergeCell ref="C9:H9"/>
  </mergeCells>
  <conditionalFormatting sqref="C11:H24">
    <cfRule type="colorScale" priority="1">
      <colorScale>
        <cfvo type="min"/>
        <cfvo type="percentile" val="50"/>
        <cfvo type="max"/>
        <color rgb="FFF8696B"/>
        <color rgb="FFFCFCFF"/>
        <color rgb="FF63BE7B"/>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H23"/>
  <sheetViews>
    <sheetView showGridLines="0" zoomScale="80" zoomScaleNormal="80" workbookViewId="0">
      <selection activeCell="F32" sqref="F32"/>
    </sheetView>
  </sheetViews>
  <sheetFormatPr defaultRowHeight="14.4" x14ac:dyDescent="0.3"/>
  <cols>
    <col min="1" max="1" width="3.6640625" customWidth="1"/>
    <col min="2" max="2" width="21.44140625" customWidth="1"/>
    <col min="3" max="3" width="10.21875" customWidth="1"/>
    <col min="4" max="4" width="10.5546875" customWidth="1"/>
    <col min="5" max="6" width="9.88671875" customWidth="1"/>
    <col min="7" max="7" width="10.33203125" customWidth="1"/>
    <col min="8" max="8" width="20.44140625" bestFit="1" customWidth="1"/>
  </cols>
  <sheetData>
    <row r="7" spans="2:8" ht="15" thickBot="1" x14ac:dyDescent="0.35"/>
    <row r="8" spans="2:8" ht="15" thickBot="1" x14ac:dyDescent="0.35">
      <c r="B8" s="43" t="s">
        <v>64</v>
      </c>
      <c r="C8" s="76" t="s">
        <v>51</v>
      </c>
      <c r="D8" s="77"/>
      <c r="E8" s="77"/>
      <c r="F8" s="77"/>
      <c r="G8" s="77"/>
      <c r="H8" s="78"/>
    </row>
    <row r="9" spans="2:8" ht="15" thickBot="1" x14ac:dyDescent="0.35">
      <c r="B9" s="46" t="s">
        <v>61</v>
      </c>
      <c r="C9" s="47" t="s">
        <v>23</v>
      </c>
      <c r="D9" s="47" t="s">
        <v>42</v>
      </c>
      <c r="E9" s="47" t="s">
        <v>26</v>
      </c>
      <c r="F9" s="47" t="s">
        <v>25</v>
      </c>
      <c r="G9" s="47" t="s">
        <v>39</v>
      </c>
      <c r="H9" s="48" t="s">
        <v>59</v>
      </c>
    </row>
    <row r="10" spans="2:8" x14ac:dyDescent="0.3">
      <c r="B10" s="72">
        <v>2010</v>
      </c>
      <c r="C10" s="41">
        <v>0.21484093522422384</v>
      </c>
      <c r="D10" s="41">
        <v>3.3680271313296692E-2</v>
      </c>
      <c r="E10" s="41">
        <v>0.29006514102520375</v>
      </c>
      <c r="F10" s="41">
        <v>0.30023686063632288</v>
      </c>
      <c r="G10" s="41">
        <v>-2.0438335820974041E-2</v>
      </c>
      <c r="H10" s="42">
        <f t="shared" ref="H10:H22" si="0">AVERAGE(C10:G10)</f>
        <v>0.16367697447561463</v>
      </c>
    </row>
    <row r="11" spans="2:8" x14ac:dyDescent="0.3">
      <c r="B11" s="73">
        <v>2011</v>
      </c>
      <c r="C11" s="38">
        <v>0.2394664153941376</v>
      </c>
      <c r="D11" s="38">
        <v>1.3124779000353599E-2</v>
      </c>
      <c r="E11" s="38">
        <v>0.25687903970452447</v>
      </c>
      <c r="F11" s="38">
        <v>0.3309838010951775</v>
      </c>
      <c r="G11" s="38">
        <v>7.1443388087237089E-2</v>
      </c>
      <c r="H11" s="39">
        <f t="shared" si="0"/>
        <v>0.18237948465628603</v>
      </c>
    </row>
    <row r="12" spans="2:8" x14ac:dyDescent="0.3">
      <c r="B12" s="73">
        <v>2012</v>
      </c>
      <c r="C12" s="38">
        <v>0.26665090602397323</v>
      </c>
      <c r="D12" s="38">
        <v>-6.3837100813513828E-4</v>
      </c>
      <c r="E12" s="38">
        <v>0.23321531744825039</v>
      </c>
      <c r="F12" s="38">
        <v>0.23029448069123612</v>
      </c>
      <c r="G12" s="38">
        <v>0.14534771744377717</v>
      </c>
      <c r="H12" s="39">
        <f t="shared" si="0"/>
        <v>0.17497401011982036</v>
      </c>
    </row>
    <row r="13" spans="2:8" x14ac:dyDescent="0.3">
      <c r="B13" s="73">
        <v>2013</v>
      </c>
      <c r="C13" s="38">
        <v>0.21670469837926393</v>
      </c>
      <c r="D13" s="38">
        <v>3.6802234997045076E-3</v>
      </c>
      <c r="E13" s="38">
        <v>0.22934490895008916</v>
      </c>
      <c r="F13" s="38">
        <v>0.28083854641678119</v>
      </c>
      <c r="G13" s="38">
        <v>0.13142876234270737</v>
      </c>
      <c r="H13" s="39">
        <f t="shared" si="0"/>
        <v>0.17239942791770924</v>
      </c>
    </row>
    <row r="14" spans="2:8" x14ac:dyDescent="0.3">
      <c r="B14" s="73">
        <v>2014</v>
      </c>
      <c r="C14" s="38">
        <v>0.21614376760852322</v>
      </c>
      <c r="D14" s="38">
        <v>-2.7082303231896437E-3</v>
      </c>
      <c r="E14" s="38">
        <v>0.21417857305192345</v>
      </c>
      <c r="F14" s="38">
        <v>0.25421210829983992</v>
      </c>
      <c r="G14" s="38">
        <v>0.10653753026634383</v>
      </c>
      <c r="H14" s="39">
        <f t="shared" si="0"/>
        <v>0.15767274978068815</v>
      </c>
    </row>
    <row r="15" spans="2:8" x14ac:dyDescent="0.3">
      <c r="B15" s="73">
        <v>2015</v>
      </c>
      <c r="C15" s="38">
        <v>0.22845773698735639</v>
      </c>
      <c r="D15" s="38">
        <v>5.5697811337681999E-3</v>
      </c>
      <c r="E15" s="38">
        <v>0.21104428649535265</v>
      </c>
      <c r="F15" s="38">
        <v>0.13029493481513144</v>
      </c>
      <c r="G15" s="38">
        <v>0.13477146518581803</v>
      </c>
      <c r="H15" s="39">
        <f t="shared" si="0"/>
        <v>0.14202764092348535</v>
      </c>
    </row>
    <row r="16" spans="2:8" x14ac:dyDescent="0.3">
      <c r="B16" s="73">
        <v>2016</v>
      </c>
      <c r="C16" s="38">
        <v>0.211867983064288</v>
      </c>
      <c r="D16" s="38">
        <v>1.7435490157147373E-2</v>
      </c>
      <c r="E16" s="38">
        <v>0.2157701169797944</v>
      </c>
      <c r="F16" s="38">
        <v>0.22532198257893235</v>
      </c>
      <c r="G16" s="38">
        <v>0.12255489021956088</v>
      </c>
      <c r="H16" s="39">
        <f t="shared" si="0"/>
        <v>0.15859009259994461</v>
      </c>
    </row>
    <row r="17" spans="2:8" x14ac:dyDescent="0.3">
      <c r="B17" s="73">
        <v>2017</v>
      </c>
      <c r="C17" s="38">
        <v>0.21092420845075338</v>
      </c>
      <c r="D17" s="38">
        <v>1.7052162864178651E-2</v>
      </c>
      <c r="E17" s="38">
        <v>0.11422128005051645</v>
      </c>
      <c r="F17" s="38">
        <v>0.26394052044609667</v>
      </c>
      <c r="G17" s="38">
        <v>0.24109985528219971</v>
      </c>
      <c r="H17" s="39">
        <f t="shared" si="0"/>
        <v>0.16944760541874898</v>
      </c>
    </row>
    <row r="18" spans="2:8" x14ac:dyDescent="0.3">
      <c r="B18" s="73">
        <v>2018</v>
      </c>
      <c r="C18" s="38">
        <v>0.22414202074587247</v>
      </c>
      <c r="D18" s="38">
        <v>4.3252736305590261E-2</v>
      </c>
      <c r="E18" s="38">
        <v>0.22464716157843576</v>
      </c>
      <c r="F18" s="38">
        <v>0.15015404131931859</v>
      </c>
      <c r="G18" s="38">
        <v>0.3136709903232448</v>
      </c>
      <c r="H18" s="39">
        <f t="shared" si="0"/>
        <v>0.19117339005449238</v>
      </c>
    </row>
    <row r="19" spans="2:8" x14ac:dyDescent="0.3">
      <c r="B19" s="73">
        <v>2019</v>
      </c>
      <c r="C19" s="38">
        <v>0.21238094505984456</v>
      </c>
      <c r="D19" s="38">
        <v>4.1308703060722513E-2</v>
      </c>
      <c r="E19" s="38">
        <v>0.21218112284300339</v>
      </c>
      <c r="F19" s="38">
        <v>0.31181710544090652</v>
      </c>
      <c r="G19" s="38">
        <v>0.35344827586206895</v>
      </c>
      <c r="H19" s="39">
        <f t="shared" si="0"/>
        <v>0.2262272304533092</v>
      </c>
    </row>
    <row r="20" spans="2:8" x14ac:dyDescent="0.3">
      <c r="B20" s="73">
        <v>2020</v>
      </c>
      <c r="C20" s="38">
        <v>0.20913611278072236</v>
      </c>
      <c r="D20" s="38">
        <v>5.5252496995316841E-2</v>
      </c>
      <c r="E20" s="38">
        <v>0.22061941520980458</v>
      </c>
      <c r="F20" s="38">
        <v>0.30962486452470023</v>
      </c>
      <c r="G20" s="38">
        <v>0.25609085913170909</v>
      </c>
      <c r="H20" s="39">
        <f t="shared" si="0"/>
        <v>0.2101447497284506</v>
      </c>
    </row>
    <row r="21" spans="2:8" x14ac:dyDescent="0.3">
      <c r="B21" s="73">
        <v>2021</v>
      </c>
      <c r="C21" s="38">
        <v>0.25881793355694238</v>
      </c>
      <c r="D21" s="38">
        <v>7.1014128755145567E-2</v>
      </c>
      <c r="E21" s="38">
        <v>0.29511677282377918</v>
      </c>
      <c r="F21" s="38">
        <v>0.36451739564989766</v>
      </c>
      <c r="G21" s="38">
        <v>0.25979010494752625</v>
      </c>
      <c r="H21" s="39">
        <f t="shared" si="0"/>
        <v>0.24985126714665823</v>
      </c>
    </row>
    <row r="22" spans="2:8" ht="15" thickBot="1" x14ac:dyDescent="0.35">
      <c r="B22" s="74">
        <v>2022</v>
      </c>
      <c r="C22" s="49">
        <v>0.25309640705199732</v>
      </c>
      <c r="D22" s="49">
        <v>-5.2958950004183018E-3</v>
      </c>
      <c r="E22" s="49">
        <v>0.21203807153261961</v>
      </c>
      <c r="F22" s="49">
        <v>0.36686336813436221</v>
      </c>
      <c r="G22" s="49">
        <v>0.36233930296499961</v>
      </c>
      <c r="H22" s="50">
        <f t="shared" si="0"/>
        <v>0.2378082509367121</v>
      </c>
    </row>
    <row r="23" spans="2:8" ht="15" thickBot="1" x14ac:dyDescent="0.35">
      <c r="B23" s="43" t="s">
        <v>63</v>
      </c>
      <c r="C23" s="52">
        <f>AVERAGE(C10:C22)</f>
        <v>0.22789462079445377</v>
      </c>
      <c r="D23" s="52">
        <f>AVERAGE(D10:D22)</f>
        <v>2.2517559750267778E-2</v>
      </c>
      <c r="E23" s="52">
        <f>AVERAGE(E10:E22)</f>
        <v>0.22533240059179208</v>
      </c>
      <c r="F23" s="52">
        <f>AVERAGE(F10:F22)</f>
        <v>0.27070000077297718</v>
      </c>
      <c r="G23" s="52">
        <f>AVERAGE(G10:G22)</f>
        <v>0.19062190817201685</v>
      </c>
      <c r="H23" s="53">
        <f>IFERROR(AVERAGE(C10:G22),"")</f>
        <v>0.18741329801630152</v>
      </c>
    </row>
  </sheetData>
  <mergeCells count="1">
    <mergeCell ref="C8:H8"/>
  </mergeCells>
  <conditionalFormatting sqref="C10:H23">
    <cfRule type="colorScale" priority="1">
      <colorScale>
        <cfvo type="min"/>
        <cfvo type="percentile" val="50"/>
        <cfvo type="max"/>
        <color rgb="FFF8696B"/>
        <color rgb="FFFCFCFF"/>
        <color rgb="FF63BE7B"/>
      </colorScale>
    </cfRule>
  </conditionalFormatting>
  <pageMargins left="0.7" right="0.7" top="0.75" bottom="0.75" header="0.3" footer="0.3"/>
  <ignoredErrors>
    <ignoredError sqref="H10:H22" formulaRange="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8:H24"/>
  <sheetViews>
    <sheetView showGridLines="0" zoomScale="80" zoomScaleNormal="80" workbookViewId="0">
      <selection activeCell="H29" sqref="H29"/>
    </sheetView>
  </sheetViews>
  <sheetFormatPr defaultRowHeight="14.4" x14ac:dyDescent="0.3"/>
  <cols>
    <col min="1" max="1" width="3.109375" customWidth="1"/>
    <col min="2" max="2" width="28.109375" bestFit="1" customWidth="1"/>
    <col min="8" max="8" width="20.109375" bestFit="1" customWidth="1"/>
  </cols>
  <sheetData>
    <row r="8" spans="2:8" ht="15" thickBot="1" x14ac:dyDescent="0.35"/>
    <row r="9" spans="2:8" ht="15" thickBot="1" x14ac:dyDescent="0.35">
      <c r="B9" s="43" t="s">
        <v>65</v>
      </c>
      <c r="C9" s="79" t="s">
        <v>51</v>
      </c>
      <c r="D9" s="79"/>
      <c r="E9" s="79"/>
      <c r="F9" s="79"/>
      <c r="G9" s="79"/>
      <c r="H9" s="80"/>
    </row>
    <row r="10" spans="2:8" ht="15" thickBot="1" x14ac:dyDescent="0.35">
      <c r="B10" s="43" t="s">
        <v>0</v>
      </c>
      <c r="C10" s="44" t="s">
        <v>23</v>
      </c>
      <c r="D10" s="44" t="s">
        <v>42</v>
      </c>
      <c r="E10" s="44" t="s">
        <v>26</v>
      </c>
      <c r="F10" s="44" t="s">
        <v>25</v>
      </c>
      <c r="G10" s="44" t="s">
        <v>39</v>
      </c>
      <c r="H10" s="45" t="s">
        <v>59</v>
      </c>
    </row>
    <row r="11" spans="2:8" x14ac:dyDescent="0.3">
      <c r="B11" s="72">
        <v>2010</v>
      </c>
      <c r="C11" s="41">
        <v>0.29761594480643927</v>
      </c>
      <c r="D11" s="41">
        <v>5.7712548239971934E-2</v>
      </c>
      <c r="E11" s="41">
        <v>0.4016575150915726</v>
      </c>
      <c r="F11" s="41">
        <v>0.4284456820946162</v>
      </c>
      <c r="G11" s="41">
        <v>2.9376376281585896E-2</v>
      </c>
      <c r="H11" s="42">
        <f>IFERROR(AVERAGE(C11:G11),"")</f>
        <v>0.24296161330283716</v>
      </c>
    </row>
    <row r="12" spans="2:8" x14ac:dyDescent="0.3">
      <c r="B12" s="73">
        <v>2011</v>
      </c>
      <c r="C12" s="38">
        <v>0.3289083501926115</v>
      </c>
      <c r="D12" s="38">
        <v>4.0455935270503569E-2</v>
      </c>
      <c r="E12" s="38">
        <v>0.3586070439256035</v>
      </c>
      <c r="F12" s="38">
        <v>0.42787698554537268</v>
      </c>
      <c r="G12" s="38">
        <v>0.12494989852705479</v>
      </c>
      <c r="H12" s="39">
        <f t="shared" ref="H12:H23" si="0">IFERROR(AVERAGE(C12:G12),"")</f>
        <v>0.25615964269222918</v>
      </c>
    </row>
    <row r="13" spans="2:8" x14ac:dyDescent="0.3">
      <c r="B13" s="73">
        <v>2012</v>
      </c>
      <c r="C13" s="38">
        <v>0.37389781991974852</v>
      </c>
      <c r="D13" s="38">
        <v>4.6404661745208124E-2</v>
      </c>
      <c r="E13" s="38">
        <v>0.36482112991159671</v>
      </c>
      <c r="F13" s="38">
        <v>0.41944847605224966</v>
      </c>
      <c r="G13" s="38">
        <v>0.21323629978513881</v>
      </c>
      <c r="H13" s="39">
        <f t="shared" si="0"/>
        <v>0.28356167748278838</v>
      </c>
    </row>
    <row r="14" spans="2:8" x14ac:dyDescent="0.3">
      <c r="B14" s="73">
        <v>2013</v>
      </c>
      <c r="C14" s="38">
        <v>0.32623017962670409</v>
      </c>
      <c r="D14" s="38">
        <v>5.3699027561381833E-2</v>
      </c>
      <c r="E14" s="38">
        <v>0.34838523748626599</v>
      </c>
      <c r="F14" s="38">
        <v>0.39202815707330857</v>
      </c>
      <c r="G14" s="38">
        <v>0.20430881189226852</v>
      </c>
      <c r="H14" s="39">
        <f t="shared" si="0"/>
        <v>0.2649302827279858</v>
      </c>
    </row>
    <row r="15" spans="2:8" x14ac:dyDescent="0.3">
      <c r="B15" s="73">
        <v>2014</v>
      </c>
      <c r="C15" s="38">
        <v>0.3306928526491425</v>
      </c>
      <c r="D15" s="38">
        <v>5.5333303366746078E-2</v>
      </c>
      <c r="E15" s="38">
        <v>0.32537385797184892</v>
      </c>
      <c r="F15" s="38">
        <v>0.37970587219144797</v>
      </c>
      <c r="G15" s="38">
        <v>0.1791767554479419</v>
      </c>
      <c r="H15" s="39">
        <f t="shared" si="0"/>
        <v>0.25405652832542547</v>
      </c>
    </row>
    <row r="16" spans="2:8" x14ac:dyDescent="0.3">
      <c r="B16" s="73">
        <v>2015</v>
      </c>
      <c r="C16" s="38">
        <v>0.35293840788995146</v>
      </c>
      <c r="D16" s="38">
        <v>7.9565631833728945E-2</v>
      </c>
      <c r="E16" s="38">
        <v>0.32568776753923911</v>
      </c>
      <c r="F16" s="38">
        <v>0.33784996794186795</v>
      </c>
      <c r="G16" s="38">
        <v>0.2150790260572405</v>
      </c>
      <c r="H16" s="39">
        <f t="shared" si="0"/>
        <v>0.26222416025240564</v>
      </c>
    </row>
    <row r="17" spans="2:8" x14ac:dyDescent="0.3">
      <c r="B17" s="73">
        <v>2016</v>
      </c>
      <c r="C17" s="38">
        <v>0.32706977865784947</v>
      </c>
      <c r="D17" s="38">
        <v>9.0464529697691698E-2</v>
      </c>
      <c r="E17" s="38">
        <v>0.33077809287486709</v>
      </c>
      <c r="F17" s="38">
        <v>0.36564495249797047</v>
      </c>
      <c r="G17" s="38">
        <v>0.19421157684630738</v>
      </c>
      <c r="H17" s="39">
        <f t="shared" si="0"/>
        <v>0.26163378611493721</v>
      </c>
    </row>
    <row r="18" spans="2:8" x14ac:dyDescent="0.3">
      <c r="B18" s="73">
        <v>2017</v>
      </c>
      <c r="C18" s="38">
        <v>0.31191271800867237</v>
      </c>
      <c r="D18" s="38">
        <v>8.7616520301800227E-2</v>
      </c>
      <c r="E18" s="38">
        <v>0.29852510035632129</v>
      </c>
      <c r="F18" s="38">
        <v>0.39145292064905612</v>
      </c>
      <c r="G18" s="38">
        <v>0.3069464544138929</v>
      </c>
      <c r="H18" s="39">
        <f t="shared" si="0"/>
        <v>0.27929074274594856</v>
      </c>
    </row>
    <row r="19" spans="2:8" x14ac:dyDescent="0.3">
      <c r="B19" s="73">
        <v>2018</v>
      </c>
      <c r="C19" s="38">
        <v>0.30799149080366722</v>
      </c>
      <c r="D19" s="38">
        <v>0.11920802792770743</v>
      </c>
      <c r="E19" s="38">
        <v>0.26720703995790057</v>
      </c>
      <c r="F19" s="38">
        <v>0.41064697354113811</v>
      </c>
      <c r="G19" s="38">
        <v>0.35093679225859586</v>
      </c>
      <c r="H19" s="39">
        <f t="shared" si="0"/>
        <v>0.29119806489780187</v>
      </c>
    </row>
    <row r="20" spans="2:8" x14ac:dyDescent="0.3">
      <c r="B20" s="73">
        <v>2019</v>
      </c>
      <c r="C20" s="38">
        <v>0.29394559025882677</v>
      </c>
      <c r="D20" s="38">
        <v>0.12950855904349748</v>
      </c>
      <c r="E20" s="38">
        <v>0.28427562601555695</v>
      </c>
      <c r="F20" s="38">
        <v>0.43419975683987189</v>
      </c>
      <c r="G20" s="38">
        <v>0.34704677364288156</v>
      </c>
      <c r="H20" s="39">
        <f t="shared" si="0"/>
        <v>0.29779526116012695</v>
      </c>
    </row>
    <row r="21" spans="2:8" x14ac:dyDescent="0.3">
      <c r="B21" s="73">
        <v>2020</v>
      </c>
      <c r="C21" s="38">
        <v>0.2817478097736007</v>
      </c>
      <c r="D21" s="38">
        <v>0.12453634630527581</v>
      </c>
      <c r="E21" s="38">
        <v>0.30089247070296449</v>
      </c>
      <c r="F21" s="38">
        <v>0.45977694647414608</v>
      </c>
      <c r="G21" s="38">
        <v>0.29556695365451546</v>
      </c>
      <c r="H21" s="39">
        <f t="shared" si="0"/>
        <v>0.29250410538210048</v>
      </c>
    </row>
    <row r="22" spans="2:8" x14ac:dyDescent="0.3">
      <c r="B22" s="73">
        <v>2021</v>
      </c>
      <c r="C22" s="38">
        <v>0.32866979938056462</v>
      </c>
      <c r="D22" s="38">
        <v>0.12624355607017126</v>
      </c>
      <c r="E22" s="38">
        <v>0.35381175840426649</v>
      </c>
      <c r="F22" s="38">
        <v>0.48547189567369475</v>
      </c>
      <c r="G22" s="38">
        <v>0.3376311844077961</v>
      </c>
      <c r="H22" s="39">
        <f t="shared" si="0"/>
        <v>0.32636563878729863</v>
      </c>
    </row>
    <row r="23" spans="2:8" ht="15" thickBot="1" x14ac:dyDescent="0.35">
      <c r="B23" s="74">
        <v>2022</v>
      </c>
      <c r="C23" s="49">
        <v>0.3310467428130896</v>
      </c>
      <c r="D23" s="49">
        <v>0.10539064521589235</v>
      </c>
      <c r="E23" s="49">
        <v>0.32092802896378114</v>
      </c>
      <c r="F23" s="49">
        <v>0.49348363342916224</v>
      </c>
      <c r="G23" s="49">
        <v>0.41669762948651262</v>
      </c>
      <c r="H23" s="50">
        <f t="shared" si="0"/>
        <v>0.33350933598168758</v>
      </c>
    </row>
    <row r="24" spans="2:8" ht="15" thickBot="1" x14ac:dyDescent="0.35">
      <c r="B24" s="51" t="s">
        <v>66</v>
      </c>
      <c r="C24" s="52">
        <f>AVERAGE(C11:C23)</f>
        <v>0.32251288344468215</v>
      </c>
      <c r="D24" s="52">
        <f t="shared" ref="D24:G24" si="1">AVERAGE(D11:D23)</f>
        <v>8.5856868659967445E-2</v>
      </c>
      <c r="E24" s="52">
        <f t="shared" si="1"/>
        <v>0.32930389763090651</v>
      </c>
      <c r="F24" s="52">
        <f t="shared" si="1"/>
        <v>0.417387093846454</v>
      </c>
      <c r="G24" s="52">
        <f t="shared" si="1"/>
        <v>0.247320348669364</v>
      </c>
      <c r="H24" s="53">
        <f>IFERROR(AVERAGE(C11:G23),"")</f>
        <v>0.28047621845027482</v>
      </c>
    </row>
  </sheetData>
  <mergeCells count="1">
    <mergeCell ref="C9:H9"/>
  </mergeCells>
  <conditionalFormatting sqref="C11:H24">
    <cfRule type="colorScale" priority="1">
      <colorScale>
        <cfvo type="min"/>
        <cfvo type="percentile" val="50"/>
        <cfvo type="max"/>
        <color rgb="FFF8696B"/>
        <color rgb="FFFCFCFF"/>
        <color rgb="FF63BE7B"/>
      </colorScale>
    </cfRule>
  </conditionalFormatting>
  <pageMargins left="0.7" right="0.7" top="0.75" bottom="0.75" header="0.3" footer="0.3"/>
  <ignoredErrors>
    <ignoredError sqref="H11:H23" formulaRange="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H24"/>
  <sheetViews>
    <sheetView showGridLines="0" tabSelected="1" zoomScale="80" zoomScaleNormal="80" workbookViewId="0">
      <selection activeCell="N41" sqref="N41"/>
    </sheetView>
  </sheetViews>
  <sheetFormatPr defaultRowHeight="14.4" x14ac:dyDescent="0.3"/>
  <cols>
    <col min="1" max="1" width="1.88671875" customWidth="1"/>
    <col min="2" max="2" width="30" bestFit="1" customWidth="1"/>
    <col min="3" max="5" width="10" bestFit="1" customWidth="1"/>
    <col min="6" max="6" width="10" customWidth="1"/>
    <col min="7" max="7" width="9" bestFit="1" customWidth="1"/>
    <col min="8" max="8" width="20.109375" bestFit="1" customWidth="1"/>
    <col min="9" max="9" width="10" bestFit="1" customWidth="1"/>
    <col min="10" max="10" width="12" bestFit="1" customWidth="1"/>
    <col min="11" max="11" width="8.6640625" bestFit="1" customWidth="1"/>
    <col min="12" max="12" width="9" bestFit="1" customWidth="1"/>
    <col min="13" max="13" width="7.6640625" bestFit="1" customWidth="1"/>
    <col min="14" max="14" width="12" bestFit="1" customWidth="1"/>
  </cols>
  <sheetData>
    <row r="5" spans="1:8" x14ac:dyDescent="0.3">
      <c r="A5" s="56"/>
    </row>
    <row r="6" spans="1:8" x14ac:dyDescent="0.3">
      <c r="A6" s="56"/>
    </row>
    <row r="7" spans="1:8" ht="15" thickBot="1" x14ac:dyDescent="0.35">
      <c r="A7" s="56"/>
    </row>
    <row r="8" spans="1:8" ht="15" thickBot="1" x14ac:dyDescent="0.35">
      <c r="A8" s="56"/>
      <c r="B8" s="57" t="s">
        <v>80</v>
      </c>
      <c r="C8" s="81" t="s">
        <v>51</v>
      </c>
      <c r="D8" s="82"/>
      <c r="E8" s="82"/>
      <c r="F8" s="82"/>
      <c r="G8" s="82"/>
      <c r="H8" s="83"/>
    </row>
    <row r="9" spans="1:8" ht="15" thickBot="1" x14ac:dyDescent="0.35">
      <c r="A9" s="56"/>
      <c r="B9" s="57" t="s">
        <v>0</v>
      </c>
      <c r="C9" s="58" t="s">
        <v>23</v>
      </c>
      <c r="D9" s="59" t="s">
        <v>42</v>
      </c>
      <c r="E9" s="59" t="s">
        <v>26</v>
      </c>
      <c r="F9" s="59" t="s">
        <v>25</v>
      </c>
      <c r="G9" s="60" t="s">
        <v>39</v>
      </c>
      <c r="H9" s="61" t="s">
        <v>59</v>
      </c>
    </row>
    <row r="10" spans="1:8" x14ac:dyDescent="0.3">
      <c r="A10" s="56"/>
      <c r="B10" s="69">
        <v>2010</v>
      </c>
      <c r="C10" s="62">
        <v>10509.75</v>
      </c>
      <c r="D10" s="62">
        <v>864</v>
      </c>
      <c r="E10" s="62">
        <v>6378.75</v>
      </c>
      <c r="F10" s="62">
        <v>14070</v>
      </c>
      <c r="G10" s="62">
        <v>-50.310379999999995</v>
      </c>
      <c r="H10" s="63">
        <f>IFERROR(AVERAGE(C10:G10),"")</f>
        <v>6354.4379239999998</v>
      </c>
    </row>
    <row r="11" spans="1:8" x14ac:dyDescent="0.3">
      <c r="A11" s="56"/>
      <c r="B11" s="70">
        <v>2011</v>
      </c>
      <c r="C11" s="64">
        <v>19441.5</v>
      </c>
      <c r="D11" s="64">
        <v>473.25</v>
      </c>
      <c r="E11" s="64">
        <v>7302.75</v>
      </c>
      <c r="F11" s="64">
        <v>17362.5</v>
      </c>
      <c r="G11" s="64">
        <v>187.32803999999999</v>
      </c>
      <c r="H11" s="63">
        <f t="shared" ref="H11:H22" si="0">IFERROR(AVERAGE(C11:G11),"")</f>
        <v>8953.4656080000004</v>
      </c>
    </row>
    <row r="12" spans="1:8" x14ac:dyDescent="0.3">
      <c r="A12" s="56"/>
      <c r="B12" s="70">
        <v>2012</v>
      </c>
      <c r="C12" s="64">
        <v>31299.75</v>
      </c>
      <c r="D12" s="64">
        <v>-29.25</v>
      </c>
      <c r="E12" s="64">
        <v>8052.75</v>
      </c>
      <c r="F12" s="64">
        <v>12733.5</v>
      </c>
      <c r="G12" s="64">
        <v>430.00660000000005</v>
      </c>
      <c r="H12" s="63">
        <f t="shared" si="0"/>
        <v>10497.35132</v>
      </c>
    </row>
    <row r="13" spans="1:8" x14ac:dyDescent="0.3">
      <c r="A13" s="56"/>
      <c r="B13" s="70">
        <v>2013</v>
      </c>
      <c r="C13" s="64">
        <v>27777.75</v>
      </c>
      <c r="D13" s="64">
        <v>205.5</v>
      </c>
      <c r="E13" s="64">
        <v>9549.75</v>
      </c>
      <c r="F13" s="64">
        <v>16397.25</v>
      </c>
      <c r="G13" s="64">
        <v>416.27663999999993</v>
      </c>
      <c r="H13" s="63">
        <f t="shared" si="0"/>
        <v>10869.305327999999</v>
      </c>
    </row>
    <row r="14" spans="1:8" x14ac:dyDescent="0.3">
      <c r="A14" s="56"/>
      <c r="B14" s="70">
        <v>2014</v>
      </c>
      <c r="C14" s="64">
        <v>29632.5</v>
      </c>
      <c r="D14" s="64">
        <v>-180.75</v>
      </c>
      <c r="E14" s="64">
        <v>10602</v>
      </c>
      <c r="F14" s="64">
        <v>16555.5</v>
      </c>
      <c r="G14" s="64">
        <v>325.60000000000002</v>
      </c>
      <c r="H14" s="63">
        <f t="shared" si="0"/>
        <v>11386.97</v>
      </c>
    </row>
    <row r="15" spans="1:8" x14ac:dyDescent="0.3">
      <c r="A15" s="56"/>
      <c r="B15" s="70">
        <v>2015</v>
      </c>
      <c r="C15" s="64">
        <v>40045.5</v>
      </c>
      <c r="D15" s="64">
        <v>447</v>
      </c>
      <c r="E15" s="64">
        <v>11869.5</v>
      </c>
      <c r="F15" s="64">
        <v>9144.75</v>
      </c>
      <c r="G15" s="64">
        <v>466.94</v>
      </c>
      <c r="H15" s="63">
        <f t="shared" si="0"/>
        <v>12394.738000000001</v>
      </c>
    </row>
    <row r="16" spans="1:8" x14ac:dyDescent="0.3">
      <c r="A16" s="56"/>
      <c r="B16" s="70">
        <v>2016</v>
      </c>
      <c r="C16" s="64">
        <v>34265.25</v>
      </c>
      <c r="D16" s="64">
        <v>1778.25</v>
      </c>
      <c r="E16" s="64">
        <v>14608.5</v>
      </c>
      <c r="F16" s="64">
        <v>15404.25</v>
      </c>
      <c r="G16" s="64">
        <v>454.36</v>
      </c>
      <c r="H16" s="63">
        <f t="shared" si="0"/>
        <v>13302.121999999999</v>
      </c>
    </row>
    <row r="17" spans="1:8" x14ac:dyDescent="0.3">
      <c r="A17" s="56"/>
      <c r="B17" s="70">
        <v>2017</v>
      </c>
      <c r="C17" s="64">
        <v>36263.25</v>
      </c>
      <c r="D17" s="64">
        <v>2274.75</v>
      </c>
      <c r="E17" s="64">
        <v>9496.5</v>
      </c>
      <c r="F17" s="64">
        <v>19116.75</v>
      </c>
      <c r="G17" s="64">
        <v>1232.8399999999999</v>
      </c>
      <c r="H17" s="63">
        <f t="shared" si="0"/>
        <v>13676.817999999999</v>
      </c>
    </row>
    <row r="18" spans="1:8" x14ac:dyDescent="0.3">
      <c r="B18" s="70">
        <v>2018</v>
      </c>
      <c r="C18" s="64">
        <v>44648.25</v>
      </c>
      <c r="D18" s="64">
        <v>7554.75</v>
      </c>
      <c r="E18" s="64">
        <v>23052</v>
      </c>
      <c r="F18" s="64">
        <v>12428.25</v>
      </c>
      <c r="G18" s="64">
        <v>2254.7799999999997</v>
      </c>
      <c r="H18" s="63">
        <f t="shared" si="0"/>
        <v>17987.606</v>
      </c>
    </row>
    <row r="19" spans="1:8" x14ac:dyDescent="0.3">
      <c r="B19" s="70">
        <v>2019</v>
      </c>
      <c r="C19" s="64">
        <v>41442</v>
      </c>
      <c r="D19" s="64">
        <v>8691</v>
      </c>
      <c r="E19" s="64">
        <v>25757.25</v>
      </c>
      <c r="F19" s="64">
        <v>29430</v>
      </c>
      <c r="G19" s="64">
        <v>3064.34</v>
      </c>
      <c r="H19" s="63">
        <f t="shared" si="0"/>
        <v>21676.917999999998</v>
      </c>
    </row>
    <row r="20" spans="1:8" x14ac:dyDescent="0.3">
      <c r="B20" s="70">
        <v>2020</v>
      </c>
      <c r="C20" s="64">
        <v>43058.25</v>
      </c>
      <c r="D20" s="64">
        <v>15998.25</v>
      </c>
      <c r="E20" s="64">
        <v>30201.75</v>
      </c>
      <c r="F20" s="64">
        <v>33210.75</v>
      </c>
      <c r="G20" s="64">
        <v>2069.04</v>
      </c>
      <c r="H20" s="63">
        <f t="shared" si="0"/>
        <v>24907.608</v>
      </c>
    </row>
    <row r="21" spans="1:8" x14ac:dyDescent="0.3">
      <c r="B21" s="70">
        <v>2021</v>
      </c>
      <c r="C21" s="64">
        <v>71010</v>
      </c>
      <c r="D21" s="64">
        <v>25023</v>
      </c>
      <c r="E21" s="64">
        <v>57024.75</v>
      </c>
      <c r="F21" s="64">
        <v>45953.25</v>
      </c>
      <c r="G21" s="64">
        <v>3205.6800000000003</v>
      </c>
      <c r="H21" s="63">
        <f t="shared" si="0"/>
        <v>40443.335999999996</v>
      </c>
    </row>
    <row r="22" spans="1:8" ht="15" thickBot="1" x14ac:dyDescent="0.35">
      <c r="B22" s="71">
        <v>2022</v>
      </c>
      <c r="C22" s="65">
        <v>74852.25</v>
      </c>
      <c r="D22" s="65">
        <v>-2041.5</v>
      </c>
      <c r="E22" s="65">
        <v>44979</v>
      </c>
      <c r="F22" s="65">
        <v>54553.5</v>
      </c>
      <c r="G22" s="65">
        <v>7216.48</v>
      </c>
      <c r="H22" s="63">
        <f t="shared" si="0"/>
        <v>35911.946000000004</v>
      </c>
    </row>
    <row r="23" spans="1:8" ht="15" thickBot="1" x14ac:dyDescent="0.35">
      <c r="B23" s="57" t="s">
        <v>79</v>
      </c>
      <c r="C23" s="75">
        <f>AVERAGE(C10:C22)</f>
        <v>38788.153846153844</v>
      </c>
      <c r="D23" s="66">
        <f t="shared" ref="D23:G23" si="1">AVERAGE(D10:D22)</f>
        <v>4696.7884615384619</v>
      </c>
      <c r="E23" s="66">
        <f t="shared" si="1"/>
        <v>19913.48076923077</v>
      </c>
      <c r="F23" s="66">
        <f t="shared" si="1"/>
        <v>22796.942307692309</v>
      </c>
      <c r="G23" s="66">
        <f t="shared" si="1"/>
        <v>1636.4123769230769</v>
      </c>
      <c r="H23" s="67">
        <f>IFERROR(AVERAGE(C10:G22),"")</f>
        <v>17566.355552307694</v>
      </c>
    </row>
    <row r="24" spans="1:8" x14ac:dyDescent="0.3">
      <c r="D24" s="1"/>
    </row>
  </sheetData>
  <mergeCells count="1">
    <mergeCell ref="C8:H8"/>
  </mergeCells>
  <conditionalFormatting sqref="C10:H23">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r:id="rId1"/>
  <ignoredErrors>
    <ignoredError sqref="H10 H11:H22" formulaRange="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5"/>
  <sheetViews>
    <sheetView workbookViewId="0">
      <selection activeCell="B6" sqref="B6"/>
    </sheetView>
  </sheetViews>
  <sheetFormatPr defaultRowHeight="14.4" x14ac:dyDescent="0.3"/>
  <cols>
    <col min="1" max="1" width="130.5546875" customWidth="1"/>
  </cols>
  <sheetData>
    <row r="1" spans="1:1" x14ac:dyDescent="0.3">
      <c r="A1" s="85" t="s">
        <v>81</v>
      </c>
    </row>
    <row r="2" spans="1:1" x14ac:dyDescent="0.3">
      <c r="A2" s="86" t="s">
        <v>82</v>
      </c>
    </row>
    <row r="3" spans="1:1" x14ac:dyDescent="0.3">
      <c r="A3" s="86"/>
    </row>
    <row r="4" spans="1:1" x14ac:dyDescent="0.3">
      <c r="A4" s="85" t="s">
        <v>83</v>
      </c>
    </row>
    <row r="5" spans="1:1" s="84" customFormat="1" ht="28.8" x14ac:dyDescent="0.3">
      <c r="A5" s="87" t="s">
        <v>84</v>
      </c>
    </row>
    <row r="6" spans="1:1" x14ac:dyDescent="0.3">
      <c r="A6" s="86"/>
    </row>
    <row r="7" spans="1:1" x14ac:dyDescent="0.3">
      <c r="A7" s="85" t="s">
        <v>85</v>
      </c>
    </row>
    <row r="8" spans="1:1" ht="28.8" x14ac:dyDescent="0.3">
      <c r="A8" s="87" t="s">
        <v>86</v>
      </c>
    </row>
    <row r="9" spans="1:1" x14ac:dyDescent="0.3">
      <c r="A9" s="86"/>
    </row>
    <row r="10" spans="1:1" x14ac:dyDescent="0.3">
      <c r="A10" s="85" t="s">
        <v>67</v>
      </c>
    </row>
    <row r="11" spans="1:1" x14ac:dyDescent="0.3">
      <c r="A11" s="86" t="s">
        <v>76</v>
      </c>
    </row>
    <row r="12" spans="1:1" x14ac:dyDescent="0.3">
      <c r="A12" s="86" t="s">
        <v>77</v>
      </c>
    </row>
    <row r="13" spans="1:1" x14ac:dyDescent="0.3">
      <c r="A13" s="86" t="s">
        <v>78</v>
      </c>
    </row>
    <row r="14" spans="1:1" x14ac:dyDescent="0.3">
      <c r="A14" s="86" t="s">
        <v>69</v>
      </c>
    </row>
    <row r="15" spans="1:1" x14ac:dyDescent="0.3">
      <c r="A15" s="86" t="s">
        <v>70</v>
      </c>
    </row>
    <row r="16" spans="1:1" x14ac:dyDescent="0.3">
      <c r="A16" s="86" t="s">
        <v>71</v>
      </c>
    </row>
    <row r="17" spans="1:1" x14ac:dyDescent="0.3">
      <c r="A17" s="86" t="s">
        <v>101</v>
      </c>
    </row>
    <row r="18" spans="1:1" x14ac:dyDescent="0.3">
      <c r="A18" s="86"/>
    </row>
    <row r="19" spans="1:1" x14ac:dyDescent="0.3">
      <c r="A19" s="85" t="s">
        <v>87</v>
      </c>
    </row>
    <row r="20" spans="1:1" x14ac:dyDescent="0.3">
      <c r="A20" s="86" t="s">
        <v>88</v>
      </c>
    </row>
    <row r="21" spans="1:1" x14ac:dyDescent="0.3">
      <c r="A21" s="86"/>
    </row>
    <row r="22" spans="1:1" x14ac:dyDescent="0.3">
      <c r="A22" s="85" t="s">
        <v>89</v>
      </c>
    </row>
    <row r="23" spans="1:1" ht="28.8" x14ac:dyDescent="0.3">
      <c r="A23" s="87" t="s">
        <v>90</v>
      </c>
    </row>
    <row r="24" spans="1:1" x14ac:dyDescent="0.3">
      <c r="A24" s="86"/>
    </row>
    <row r="25" spans="1:1" x14ac:dyDescent="0.3">
      <c r="A25" s="85" t="s">
        <v>91</v>
      </c>
    </row>
    <row r="26" spans="1:1" ht="43.2" x14ac:dyDescent="0.3">
      <c r="A26" s="87" t="s">
        <v>92</v>
      </c>
    </row>
    <row r="27" spans="1:1" x14ac:dyDescent="0.3">
      <c r="A27" s="86"/>
    </row>
    <row r="28" spans="1:1" x14ac:dyDescent="0.3">
      <c r="A28" s="85" t="s">
        <v>68</v>
      </c>
    </row>
    <row r="29" spans="1:1" x14ac:dyDescent="0.3">
      <c r="A29" s="86" t="s">
        <v>72</v>
      </c>
    </row>
    <row r="30" spans="1:1" x14ac:dyDescent="0.3">
      <c r="A30" s="86" t="s">
        <v>73</v>
      </c>
    </row>
    <row r="31" spans="1:1" x14ac:dyDescent="0.3">
      <c r="A31" s="86" t="s">
        <v>74</v>
      </c>
    </row>
    <row r="32" spans="1:1" x14ac:dyDescent="0.3">
      <c r="A32" s="86" t="s">
        <v>75</v>
      </c>
    </row>
    <row r="33" spans="1:1" x14ac:dyDescent="0.3">
      <c r="A33" s="86"/>
    </row>
    <row r="34" spans="1:1" x14ac:dyDescent="0.3">
      <c r="A34" s="85" t="s">
        <v>93</v>
      </c>
    </row>
    <row r="35" spans="1:1" ht="28.8" x14ac:dyDescent="0.3">
      <c r="A35" s="87" t="s">
        <v>94</v>
      </c>
    </row>
    <row r="36" spans="1:1" x14ac:dyDescent="0.3">
      <c r="A36" s="86"/>
    </row>
    <row r="37" spans="1:1" x14ac:dyDescent="0.3">
      <c r="A37" s="85" t="s">
        <v>95</v>
      </c>
    </row>
    <row r="38" spans="1:1" ht="28.8" x14ac:dyDescent="0.3">
      <c r="A38" s="87" t="s">
        <v>96</v>
      </c>
    </row>
    <row r="39" spans="1:1" x14ac:dyDescent="0.3">
      <c r="A39" s="86"/>
    </row>
    <row r="40" spans="1:1" x14ac:dyDescent="0.3">
      <c r="A40" s="85" t="s">
        <v>97</v>
      </c>
    </row>
    <row r="41" spans="1:1" ht="28.8" x14ac:dyDescent="0.3">
      <c r="A41" s="87" t="s">
        <v>98</v>
      </c>
    </row>
    <row r="42" spans="1:1" x14ac:dyDescent="0.3">
      <c r="A42" s="86"/>
    </row>
    <row r="43" spans="1:1" x14ac:dyDescent="0.3">
      <c r="A43" s="85" t="s">
        <v>99</v>
      </c>
    </row>
    <row r="44" spans="1:1" ht="28.8" x14ac:dyDescent="0.3">
      <c r="A44" s="87" t="s">
        <v>100</v>
      </c>
    </row>
    <row r="45" spans="1:1" x14ac:dyDescent="0.3">
      <c r="A45" s="88"/>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Clean Data</vt:lpstr>
      <vt:lpstr>Tax Table</vt:lpstr>
      <vt:lpstr>Growth</vt:lpstr>
      <vt:lpstr>Profit Margin</vt:lpstr>
      <vt:lpstr>EBITDA Margin</vt:lpstr>
      <vt:lpstr>Tax Analysis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Evi</dc:creator>
  <cp:lastModifiedBy>Evi</cp:lastModifiedBy>
  <dcterms:created xsi:type="dcterms:W3CDTF">2026-03-27T17:42:28Z</dcterms:created>
  <dcterms:modified xsi:type="dcterms:W3CDTF">2026-04-15T22:19:55Z</dcterms:modified>
</cp:coreProperties>
</file>